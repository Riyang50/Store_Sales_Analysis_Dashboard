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ing Formulas" sheetId="2" state="visible" r:id="rId4"/>
    <sheet name="Summary (SUMIF-COUNTIF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<sst xmlns="http://schemas.openxmlformats.org/spreadsheetml/2006/main" count="7511" uniqueCount="3054">
  <si>
    <t xml:space="preserve">Order ID</t>
  </si>
  <si>
    <t xml:space="preserve">Order Date</t>
  </si>
  <si>
    <t xml:space="preserve">Ship Date</t>
  </si>
  <si>
    <t xml:space="preserve">Customer ID</t>
  </si>
  <si>
    <t xml:space="preserve">Customer Name</t>
  </si>
  <si>
    <t xml:space="preserve">Segment</t>
  </si>
  <si>
    <t xml:space="preserve">City</t>
  </si>
  <si>
    <t xml:space="preserve">State</t>
  </si>
  <si>
    <t xml:space="preserve">Region</t>
  </si>
  <si>
    <t xml:space="preserve">Product Category</t>
  </si>
  <si>
    <t xml:space="preserve">Sub 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</si>
  <si>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</si>
  <si>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</si>
  <si>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</si>
  <si>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</si>
  <si>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</si>
  <si>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Shipping Cost</t>
  </si>
  <si>
    <t xml:space="preserve">Payment Mode</t>
  </si>
  <si>
    <t xml:space="preserve">Order Priority</t>
  </si>
  <si>
    <t xml:space="preserve">ORD-7979</t>
  </si>
  <si>
    <t xml:space="preserve">31-Dec-2023</t>
  </si>
  <si>
    <t xml:space="preserve">07/01/2024</t>
  </si>
  <si>
    <t xml:space="preserve">CUST-2075</t>
  </si>
  <si>
    <t xml:space="preserve">Brandon Kelly</t>
  </si>
  <si>
    <t xml:space="preserve">Consumer</t>
  </si>
  <si>
    <t xml:space="preserve">Columbus</t>
  </si>
  <si>
    <t xml:space="preserve">Ohio</t>
  </si>
  <si>
    <t xml:space="preserve">Central</t>
  </si>
  <si>
    <t xml:space="preserve">technology</t>
  </si>
  <si>
    <t xml:space="preserve">Copiers</t>
  </si>
  <si>
    <t xml:space="preserve">Compact Copier</t>
  </si>
  <si>
    <t xml:space="preserve">156.38</t>
  </si>
  <si>
    <t xml:space="preserve">Credit Card</t>
  </si>
  <si>
    <t xml:space="preserve">Low</t>
  </si>
  <si>
    <t xml:space="preserve">ORD-12072</t>
  </si>
  <si>
    <t xml:space="preserve">2026-04-18</t>
  </si>
  <si>
    <t xml:space="preserve">23-Apr-2026</t>
  </si>
  <si>
    <t xml:space="preserve">CUST-2159</t>
  </si>
  <si>
    <t xml:space="preserve">Kara Sandoval</t>
  </si>
  <si>
    <t xml:space="preserve">Corporate</t>
  </si>
  <si>
    <t xml:space="preserve">Miami</t>
  </si>
  <si>
    <t xml:space="preserve">Florida</t>
  </si>
  <si>
    <t xml:space="preserve">East</t>
  </si>
  <si>
    <t xml:space="preserve">furniture</t>
  </si>
  <si>
    <t xml:space="preserve">Chairs</t>
  </si>
  <si>
    <t xml:space="preserve">Ergonomic Office Chair</t>
  </si>
  <si>
    <t xml:space="preserve">986.48</t>
  </si>
  <si>
    <t xml:space="preserve">DEBIT CARD</t>
  </si>
  <si>
    <t xml:space="preserve">ORD-6756</t>
  </si>
  <si>
    <t xml:space="preserve">15-Dec-2024</t>
  </si>
  <si>
    <t xml:space="preserve">12-22-2024</t>
  </si>
  <si>
    <t xml:space="preserve">CUST-1337</t>
  </si>
  <si>
    <t xml:space="preserve">Birmingham</t>
  </si>
  <si>
    <t xml:space="preserve">Alabama</t>
  </si>
  <si>
    <t xml:space="preserve">South</t>
  </si>
  <si>
    <t xml:space="preserve">Furniture</t>
  </si>
  <si>
    <t xml:space="preserve">Bookcases</t>
  </si>
  <si>
    <t xml:space="preserve">Oak Bookcase</t>
  </si>
  <si>
    <t xml:space="preserve">$1162.5</t>
  </si>
  <si>
    <t xml:space="preserve">upi</t>
  </si>
  <si>
    <t xml:space="preserve">High</t>
  </si>
  <si>
    <t xml:space="preserve">ORD-12634</t>
  </si>
  <si>
    <t xml:space="preserve">09-Dec-2023</t>
  </si>
  <si>
    <t xml:space="preserve">14/12/2023</t>
  </si>
  <si>
    <t xml:space="preserve">CUST-1873</t>
  </si>
  <si>
    <t xml:space="preserve">Amy Miller</t>
  </si>
  <si>
    <t xml:space="preserve">Home Office</t>
  </si>
  <si>
    <t xml:space="preserve">Albany</t>
  </si>
  <si>
    <t xml:space="preserve">New York</t>
  </si>
  <si>
    <t xml:space="preserve">Furnishings</t>
  </si>
  <si>
    <t xml:space="preserve">Desk Lamp</t>
  </si>
  <si>
    <t xml:space="preserve">206.7</t>
  </si>
  <si>
    <t xml:space="preserve">UPI</t>
  </si>
  <si>
    <t xml:space="preserve">Critical</t>
  </si>
  <si>
    <t xml:space="preserve">ORD-14527</t>
  </si>
  <si>
    <t xml:space="preserve">30-Oct-2025</t>
  </si>
  <si>
    <t xml:space="preserve">10-31-2025</t>
  </si>
  <si>
    <t xml:space="preserve">CUST-1855</t>
  </si>
  <si>
    <t xml:space="preserve">Melissa Abbott</t>
  </si>
  <si>
    <t xml:space="preserve">CORPORATE</t>
  </si>
  <si>
    <t xml:space="preserve">Norfolk</t>
  </si>
  <si>
    <t xml:space="preserve">Virginia</t>
  </si>
  <si>
    <t xml:space="preserve">Technology</t>
  </si>
  <si>
    <t xml:space="preserve">Accessories</t>
  </si>
  <si>
    <t xml:space="preserve">Laptop Stand</t>
  </si>
  <si>
    <t xml:space="preserve">6846.35 </t>
  </si>
  <si>
    <t xml:space="preserve">Debit Card</t>
  </si>
  <si>
    <t xml:space="preserve">ORD-4886</t>
  </si>
  <si>
    <t xml:space="preserve">01-19-2026</t>
  </si>
  <si>
    <t xml:space="preserve">2026-01-22</t>
  </si>
  <si>
    <t xml:space="preserve">CUST-1260</t>
  </si>
  <si>
    <t xml:space="preserve">Katie Suarez</t>
  </si>
  <si>
    <t xml:space="preserve">Richmond</t>
  </si>
  <si>
    <t xml:space="preserve">Office Supplies</t>
  </si>
  <si>
    <t xml:space="preserve">Art</t>
  </si>
  <si>
    <t xml:space="preserve">Sketch Pad</t>
  </si>
  <si>
    <t xml:space="preserve">209.4</t>
  </si>
  <si>
    <t xml:space="preserve"> UPI </t>
  </si>
  <si>
    <t xml:space="preserve">ORD-5268</t>
  </si>
  <si>
    <t xml:space="preserve">18-Sep-2023</t>
  </si>
  <si>
    <t xml:space="preserve">09-22-2023</t>
  </si>
  <si>
    <t xml:space="preserve">CUST-1723</t>
  </si>
  <si>
    <t xml:space="preserve">Todd Reynolds</t>
  </si>
  <si>
    <t xml:space="preserve">corporate</t>
  </si>
  <si>
    <t xml:space="preserve">Las Vegas</t>
  </si>
  <si>
    <t xml:space="preserve">Nevada</t>
  </si>
  <si>
    <t xml:space="preserve">West</t>
  </si>
  <si>
    <t xml:space="preserve">Wall Clock</t>
  </si>
  <si>
    <t xml:space="preserve">2705.92</t>
  </si>
  <si>
    <t xml:space="preserve">debit card</t>
  </si>
  <si>
    <t xml:space="preserve">Medium</t>
  </si>
  <si>
    <t xml:space="preserve">ORD-12605</t>
  </si>
  <si>
    <t xml:space="preserve">18/08/2023</t>
  </si>
  <si>
    <t xml:space="preserve">08-20-2023</t>
  </si>
  <si>
    <t xml:space="preserve">CUST-1028</t>
  </si>
  <si>
    <t xml:space="preserve">Zachary Hicks</t>
  </si>
  <si>
    <t xml:space="preserve">San Antonio</t>
  </si>
  <si>
    <t xml:space="preserve">Texas</t>
  </si>
  <si>
    <t xml:space="preserve">Machines</t>
  </si>
  <si>
    <t xml:space="preserve">Laser Printer</t>
  </si>
  <si>
    <t xml:space="preserve">3137.44</t>
  </si>
  <si>
    <t xml:space="preserve">CREDIT CARD</t>
  </si>
  <si>
    <t xml:space="preserve">ORD-11390</t>
  </si>
  <si>
    <t xml:space="preserve">02/04/2026</t>
  </si>
  <si>
    <t xml:space="preserve">04-09-2026</t>
  </si>
  <si>
    <t xml:space="preserve">CUST-1917</t>
  </si>
  <si>
    <t xml:space="preserve">Christine Parker</t>
  </si>
  <si>
    <t xml:space="preserve">Worcester</t>
  </si>
  <si>
    <t xml:space="preserve">Massachusetts</t>
  </si>
  <si>
    <t xml:space="preserve">OFFICE SUPPLIES</t>
  </si>
  <si>
    <t xml:space="preserve">Fasteners</t>
  </si>
  <si>
    <t xml:space="preserve">Push Pins</t>
  </si>
  <si>
    <t xml:space="preserve">110.97</t>
  </si>
  <si>
    <t xml:space="preserve">Net Banking</t>
  </si>
  <si>
    <t xml:space="preserve">ORD-7268</t>
  </si>
  <si>
    <t xml:space="preserve">08/03/2026</t>
  </si>
  <si>
    <t xml:space="preserve">2026-03-12</t>
  </si>
  <si>
    <t xml:space="preserve">CUST-1136</t>
  </si>
  <si>
    <t xml:space="preserve">Robert Potter</t>
  </si>
  <si>
    <t xml:space="preserve">Lexington</t>
  </si>
  <si>
    <t xml:space="preserve">Kentucky</t>
  </si>
  <si>
    <t xml:space="preserve">Storage</t>
  </si>
  <si>
    <t xml:space="preserve">Filing Cabinet</t>
  </si>
  <si>
    <t xml:space="preserve">104.91</t>
  </si>
  <si>
    <t xml:space="preserve">ORD-13637</t>
  </si>
  <si>
    <t xml:space="preserve">26/05/2025</t>
  </si>
  <si>
    <t xml:space="preserve">05-31-2025</t>
  </si>
  <si>
    <t xml:space="preserve">CUST-2207</t>
  </si>
  <si>
    <t xml:space="preserve">Dawn Rivera</t>
  </si>
  <si>
    <t xml:space="preserve">consumer</t>
  </si>
  <si>
    <t xml:space="preserve">springfield</t>
  </si>
  <si>
    <t xml:space="preserve">Illinois</t>
  </si>
  <si>
    <t xml:space="preserve">Colored Pencils</t>
  </si>
  <si>
    <t xml:space="preserve">24.37</t>
  </si>
  <si>
    <t xml:space="preserve">ORD-11892</t>
  </si>
  <si>
    <t xml:space="preserve">10-18-2023</t>
  </si>
  <si>
    <t xml:space="preserve">10-25-2023</t>
  </si>
  <si>
    <t xml:space="preserve">CUST-1437</t>
  </si>
  <si>
    <t xml:space="preserve">Christopher Guerra</t>
  </si>
  <si>
    <t xml:space="preserve">St. Louis</t>
  </si>
  <si>
    <t xml:space="preserve">Missouri</t>
  </si>
  <si>
    <t xml:space="preserve">1051.92</t>
  </si>
  <si>
    <t xml:space="preserve">Cash on Delivery</t>
  </si>
  <si>
    <t xml:space="preserve">ORD-7643</t>
  </si>
  <si>
    <t xml:space="preserve">12-27-2023</t>
  </si>
  <si>
    <t xml:space="preserve">28/12/2023</t>
  </si>
  <si>
    <t xml:space="preserve">CUST-1112</t>
  </si>
  <si>
    <t xml:space="preserve">Julia Torres</t>
  </si>
  <si>
    <t xml:space="preserve">San Francisco</t>
  </si>
  <si>
    <t xml:space="preserve">California</t>
  </si>
  <si>
    <t xml:space="preserve">Labels</t>
  </si>
  <si>
    <t xml:space="preserve">Shipping Labels</t>
  </si>
  <si>
    <t xml:space="preserve">145.8</t>
  </si>
  <si>
    <t xml:space="preserve"> Debit Card </t>
  </si>
  <si>
    <t xml:space="preserve">ORD-14512</t>
  </si>
  <si>
    <t xml:space="preserve">05-02-2026</t>
  </si>
  <si>
    <t xml:space="preserve">05-07-2026</t>
  </si>
  <si>
    <t xml:space="preserve">CUST-1382</t>
  </si>
  <si>
    <t xml:space="preserve">Douglas Gregory</t>
  </si>
  <si>
    <t xml:space="preserve">HOME OFFICE</t>
  </si>
  <si>
    <t xml:space="preserve">187.8 </t>
  </si>
  <si>
    <t xml:space="preserve">credit card</t>
  </si>
  <si>
    <t xml:space="preserve">ORD-16774</t>
  </si>
  <si>
    <t xml:space="preserve">12-Mar-2024</t>
  </si>
  <si>
    <t xml:space="preserve">03-16-2024</t>
  </si>
  <si>
    <t xml:space="preserve">CUST-1825</t>
  </si>
  <si>
    <t xml:space="preserve">Monica Ellis</t>
  </si>
  <si>
    <t xml:space="preserve">Chicago</t>
  </si>
  <si>
    <t xml:space="preserve"> Furniture </t>
  </si>
  <si>
    <t xml:space="preserve">1286.73</t>
  </si>
  <si>
    <t xml:space="preserve">net banking</t>
  </si>
  <si>
    <t xml:space="preserve">ORD-8475</t>
  </si>
  <si>
    <t xml:space="preserve">2025-03-28</t>
  </si>
  <si>
    <t xml:space="preserve">03-31-2025</t>
  </si>
  <si>
    <t xml:space="preserve">CUST-1274</t>
  </si>
  <si>
    <t xml:space="preserve">Joyce Bowen</t>
  </si>
  <si>
    <t xml:space="preserve">CONSUMER</t>
  </si>
  <si>
    <t xml:space="preserve">Eugene</t>
  </si>
  <si>
    <t xml:space="preserve">Oregon</t>
  </si>
  <si>
    <t xml:space="preserve">Paper</t>
  </si>
  <si>
    <t xml:space="preserve">Copy Paper A4</t>
  </si>
  <si>
    <t xml:space="preserve">61.66</t>
  </si>
  <si>
    <t xml:space="preserve">CASH ON DELIVERY</t>
  </si>
  <si>
    <t xml:space="preserve">ORD-15479</t>
  </si>
  <si>
    <t xml:space="preserve">29/10/2023</t>
  </si>
  <si>
    <t xml:space="preserve">11-01-2023</t>
  </si>
  <si>
    <t xml:space="preserve">CUST-1133</t>
  </si>
  <si>
    <t xml:space="preserve">Daniel Kennedy</t>
  </si>
  <si>
    <t xml:space="preserve">DULUTH</t>
  </si>
  <si>
    <t xml:space="preserve">Minnesota</t>
  </si>
  <si>
    <t xml:space="preserve">Marker Set</t>
  </si>
  <si>
    <t xml:space="preserve">248.78</t>
  </si>
  <si>
    <t xml:space="preserve">ORD-9695</t>
  </si>
  <si>
    <t xml:space="preserve">12/10/2023</t>
  </si>
  <si>
    <t xml:space="preserve">2023-10-19</t>
  </si>
  <si>
    <t xml:space="preserve">CUST-1606</t>
  </si>
  <si>
    <t xml:space="preserve">Brian Martin</t>
  </si>
  <si>
    <t xml:space="preserve"> Office Supplies </t>
  </si>
  <si>
    <t xml:space="preserve">122.48</t>
  </si>
  <si>
    <t xml:space="preserve">ORD-17400</t>
  </si>
  <si>
    <t xml:space="preserve">07/07/2024</t>
  </si>
  <si>
    <t xml:space="preserve">12-Jul-2024</t>
  </si>
  <si>
    <t xml:space="preserve">CUST-2164</t>
  </si>
  <si>
    <t xml:space="preserve">Mitchell Griffith</t>
  </si>
  <si>
    <t xml:space="preserve">Newark</t>
  </si>
  <si>
    <t xml:space="preserve">New Jersey</t>
  </si>
  <si>
    <t xml:space="preserve">Address Labels</t>
  </si>
  <si>
    <t xml:space="preserve">112.59</t>
  </si>
  <si>
    <t xml:space="preserve">ORD-13169</t>
  </si>
  <si>
    <t xml:space="preserve">2025-10-01</t>
  </si>
  <si>
    <t xml:space="preserve">10-02-2025</t>
  </si>
  <si>
    <t xml:space="preserve">CUST-1803</t>
  </si>
  <si>
    <t xml:space="preserve">Rodney Williams</t>
  </si>
  <si>
    <t xml:space="preserve">LEXINGTON</t>
  </si>
  <si>
    <t xml:space="preserve">Phones</t>
  </si>
  <si>
    <t xml:space="preserve">Wireless Headset</t>
  </si>
  <si>
    <t xml:space="preserve">3389.76</t>
  </si>
  <si>
    <t xml:space="preserve">ORD-3764</t>
  </si>
  <si>
    <t xml:space="preserve">2024-07-20</t>
  </si>
  <si>
    <t xml:space="preserve">2024-07-23</t>
  </si>
  <si>
    <t xml:space="preserve">CUST-1983</t>
  </si>
  <si>
    <t xml:space="preserve">Sean Curtis</t>
  </si>
  <si>
    <t xml:space="preserve">savannah</t>
  </si>
  <si>
    <t xml:space="preserve">Georgia</t>
  </si>
  <si>
    <t xml:space="preserve">FURNITURE</t>
  </si>
  <si>
    <t xml:space="preserve">83.05</t>
  </si>
  <si>
    <t xml:space="preserve">ORD-14619</t>
  </si>
  <si>
    <t xml:space="preserve">13-Jul-2026</t>
  </si>
  <si>
    <t xml:space="preserve">2026-07-20</t>
  </si>
  <si>
    <t xml:space="preserve">CUST-2237</t>
  </si>
  <si>
    <t xml:space="preserve">Nicole Richards</t>
  </si>
  <si>
    <t xml:space="preserve">Shredder</t>
  </si>
  <si>
    <t xml:space="preserve">1946.34</t>
  </si>
  <si>
    <t xml:space="preserve">ORD-3648</t>
  </si>
  <si>
    <t xml:space="preserve">07-07-2025</t>
  </si>
  <si>
    <t xml:space="preserve">07-10-2025</t>
  </si>
  <si>
    <t xml:space="preserve">CUST-1740</t>
  </si>
  <si>
    <t xml:space="preserve">Eric Rush</t>
  </si>
  <si>
    <t xml:space="preserve">denver</t>
  </si>
  <si>
    <t xml:space="preserve">Colorado</t>
  </si>
  <si>
    <t xml:space="preserve">Label Maker</t>
  </si>
  <si>
    <t xml:space="preserve">8933.16</t>
  </si>
  <si>
    <t xml:space="preserve">ORD-14198</t>
  </si>
  <si>
    <t xml:space="preserve">01-26-2026</t>
  </si>
  <si>
    <t xml:space="preserve">30-Jan-2026</t>
  </si>
  <si>
    <t xml:space="preserve">CUST-2142</t>
  </si>
  <si>
    <t xml:space="preserve">Joseph Haynes</t>
  </si>
  <si>
    <t xml:space="preserve"> Home Office </t>
  </si>
  <si>
    <t xml:space="preserve">Boulder</t>
  </si>
  <si>
    <t xml:space="preserve">Drawer Organizer</t>
  </si>
  <si>
    <t xml:space="preserve">180.18</t>
  </si>
  <si>
    <t xml:space="preserve">ORD-5050</t>
  </si>
  <si>
    <t xml:space="preserve">2023-12-24</t>
  </si>
  <si>
    <t xml:space="preserve">25/12/2023</t>
  </si>
  <si>
    <t xml:space="preserve">CUST-2086</t>
  </si>
  <si>
    <t xml:space="preserve">Mark Smith</t>
  </si>
  <si>
    <t xml:space="preserve">Cleveland</t>
  </si>
  <si>
    <t xml:space="preserve">Tables</t>
  </si>
  <si>
    <t xml:space="preserve">Round Conference Table</t>
  </si>
  <si>
    <t xml:space="preserve">2560.77</t>
  </si>
  <si>
    <t xml:space="preserve">ORD-5598</t>
  </si>
  <si>
    <t xml:space="preserve">11-09-2023</t>
  </si>
  <si>
    <t xml:space="preserve">14-Nov-2023</t>
  </si>
  <si>
    <t xml:space="preserve">CUST-1870</t>
  </si>
  <si>
    <t xml:space="preserve">Kimberly Myers</t>
  </si>
  <si>
    <t xml:space="preserve">Charlotte</t>
  </si>
  <si>
    <t xml:space="preserve">North Carolina</t>
  </si>
  <si>
    <t xml:space="preserve">2583.28</t>
  </si>
  <si>
    <t xml:space="preserve">ORD-15779</t>
  </si>
  <si>
    <t xml:space="preserve">23-Dec-2023</t>
  </si>
  <si>
    <t xml:space="preserve">CUST-1165</t>
  </si>
  <si>
    <t xml:space="preserve">John Anderson</t>
  </si>
  <si>
    <t xml:space="preserve">5774.86</t>
  </si>
  <si>
    <t xml:space="preserve">ORD-4547</t>
  </si>
  <si>
    <t xml:space="preserve">01-Jun-2024</t>
  </si>
  <si>
    <t xml:space="preserve">2024-06-08</t>
  </si>
  <si>
    <t xml:space="preserve">CUST-2211</t>
  </si>
  <si>
    <t xml:space="preserve">Heather Bowers</t>
  </si>
  <si>
    <t xml:space="preserve">Pittsburgh</t>
  </si>
  <si>
    <t xml:space="preserve">Pennsylvania</t>
  </si>
  <si>
    <t xml:space="preserve">Mesh Task Chair</t>
  </si>
  <si>
    <t xml:space="preserve">2661.12</t>
  </si>
  <si>
    <t xml:space="preserve">ORD-17539</t>
  </si>
  <si>
    <t xml:space="preserve">2024-07-24</t>
  </si>
  <si>
    <t xml:space="preserve">2024-07-27</t>
  </si>
  <si>
    <t xml:space="preserve">CUST-1008</t>
  </si>
  <si>
    <t xml:space="preserve">Gabrielle Davis</t>
  </si>
  <si>
    <t xml:space="preserve">5-Shelf Bookcase</t>
  </si>
  <si>
    <t xml:space="preserve">1188.26</t>
  </si>
  <si>
    <t xml:space="preserve">ORD-10068</t>
  </si>
  <si>
    <t xml:space="preserve">12-17-2024</t>
  </si>
  <si>
    <t xml:space="preserve">2024-12-20</t>
  </si>
  <si>
    <t xml:space="preserve">CUST-1395</t>
  </si>
  <si>
    <t xml:space="preserve">Dana Chapman</t>
  </si>
  <si>
    <t xml:space="preserve">Baton Rouge</t>
  </si>
  <si>
    <t xml:space="preserve">Louisiana</t>
  </si>
  <si>
    <t xml:space="preserve">253.76</t>
  </si>
  <si>
    <t xml:space="preserve">ORD-8173</t>
  </si>
  <si>
    <t xml:space="preserve">2026-07-02</t>
  </si>
  <si>
    <t xml:space="preserve">2026-07-03</t>
  </si>
  <si>
    <t xml:space="preserve">CUST-1715</t>
  </si>
  <si>
    <t xml:space="preserve">David Davenport</t>
  </si>
  <si>
    <t xml:space="preserve">Austin</t>
  </si>
  <si>
    <t xml:space="preserve">1516.88</t>
  </si>
  <si>
    <t xml:space="preserve">NET BANKING</t>
  </si>
  <si>
    <t xml:space="preserve">ORD-7264</t>
  </si>
  <si>
    <t xml:space="preserve">08/12/2025</t>
  </si>
  <si>
    <t xml:space="preserve">2025-12-15</t>
  </si>
  <si>
    <t xml:space="preserve">CUST-1972</t>
  </si>
  <si>
    <t xml:space="preserve">Amanda Guzman</t>
  </si>
  <si>
    <t xml:space="preserve">Savannah</t>
  </si>
  <si>
    <t xml:space="preserve">2208.4</t>
  </si>
  <si>
    <t xml:space="preserve">ORD-17402</t>
  </si>
  <si>
    <t xml:space="preserve">04/01/2026</t>
  </si>
  <si>
    <t xml:space="preserve">06/01/2026</t>
  </si>
  <si>
    <t xml:space="preserve">LOUISVILLE</t>
  </si>
  <si>
    <t xml:space="preserve">47.08</t>
  </si>
  <si>
    <t xml:space="preserve">ORD-9978</t>
  </si>
  <si>
    <t xml:space="preserve">03-10-2026</t>
  </si>
  <si>
    <t xml:space="preserve">2026-03-11</t>
  </si>
  <si>
    <t xml:space="preserve">CUST-1556</t>
  </si>
  <si>
    <t xml:space="preserve">Kathryn Williams</t>
  </si>
  <si>
    <t xml:space="preserve">Jersey City</t>
  </si>
  <si>
    <t xml:space="preserve">TECHNOLOGY</t>
  </si>
  <si>
    <t xml:space="preserve">Smartphone X200</t>
  </si>
  <si>
    <t xml:space="preserve">1969.28</t>
  </si>
  <si>
    <t xml:space="preserve">ORD-11153</t>
  </si>
  <si>
    <t xml:space="preserve">2025-11-02</t>
  </si>
  <si>
    <t xml:space="preserve">05/11/2025</t>
  </si>
  <si>
    <t xml:space="preserve">CUST-1537</t>
  </si>
  <si>
    <t xml:space="preserve">Bianca Wood</t>
  </si>
  <si>
    <t xml:space="preserve">Folding Chair</t>
  </si>
  <si>
    <t xml:space="preserve">764.4</t>
  </si>
  <si>
    <t xml:space="preserve">ORD-17764</t>
  </si>
  <si>
    <t xml:space="preserve">24/06/2026</t>
  </si>
  <si>
    <t xml:space="preserve">06-29-2026</t>
  </si>
  <si>
    <t xml:space="preserve">CUST-2140</t>
  </si>
  <si>
    <t xml:space="preserve">Patricia Ray</t>
  </si>
  <si>
    <t xml:space="preserve">69.0</t>
  </si>
  <si>
    <t xml:space="preserve">ORD-5157</t>
  </si>
  <si>
    <t xml:space="preserve">2024-03-02</t>
  </si>
  <si>
    <t xml:space="preserve">09/03/2024</t>
  </si>
  <si>
    <t xml:space="preserve">CUST-2351</t>
  </si>
  <si>
    <t xml:space="preserve">Timothy Andrews</t>
  </si>
  <si>
    <t xml:space="preserve">TACOMA</t>
  </si>
  <si>
    <t xml:space="preserve">Washington</t>
  </si>
  <si>
    <t xml:space="preserve">564.12</t>
  </si>
  <si>
    <t xml:space="preserve">ORD-3693</t>
  </si>
  <si>
    <t xml:space="preserve">11-Aug-2025</t>
  </si>
  <si>
    <t xml:space="preserve">08-14-2025</t>
  </si>
  <si>
    <t xml:space="preserve">CUST-1458</t>
  </si>
  <si>
    <t xml:space="preserve">Aaron Miller</t>
  </si>
  <si>
    <t xml:space="preserve">Ann Arbor</t>
  </si>
  <si>
    <t xml:space="preserve">Michigan</t>
  </si>
  <si>
    <t xml:space="preserve">Office Copier A3</t>
  </si>
  <si>
    <t xml:space="preserve">3102.93</t>
  </si>
  <si>
    <t xml:space="preserve">ORD-16483</t>
  </si>
  <si>
    <t xml:space="preserve">2024-09-30</t>
  </si>
  <si>
    <t xml:space="preserve">10-01-2024</t>
  </si>
  <si>
    <t xml:space="preserve">CUST-1675</t>
  </si>
  <si>
    <t xml:space="preserve">Larry Harris</t>
  </si>
  <si>
    <t xml:space="preserve">1843.87</t>
  </si>
  <si>
    <t xml:space="preserve">ORD-3153</t>
  </si>
  <si>
    <t xml:space="preserve">01-Oct-2025</t>
  </si>
  <si>
    <t xml:space="preserve">03-Oct-2025</t>
  </si>
  <si>
    <t xml:space="preserve">CUST-1298</t>
  </si>
  <si>
    <t xml:space="preserve">Keith Jennings</t>
  </si>
  <si>
    <t xml:space="preserve">office supplies</t>
  </si>
  <si>
    <t xml:space="preserve">Binders</t>
  </si>
  <si>
    <t xml:space="preserve">Heavy Duty Binder</t>
  </si>
  <si>
    <t xml:space="preserve">48.7</t>
  </si>
  <si>
    <t xml:space="preserve">ORD-18178</t>
  </si>
  <si>
    <t xml:space="preserve">15-Apr-2024</t>
  </si>
  <si>
    <t xml:space="preserve">2024-04-20</t>
  </si>
  <si>
    <t xml:space="preserve">CUST-1083</t>
  </si>
  <si>
    <t xml:space="preserve">Paul Jones</t>
  </si>
  <si>
    <t xml:space="preserve">kansas city</t>
  </si>
  <si>
    <t xml:space="preserve">Adjustable Height Table</t>
  </si>
  <si>
    <t xml:space="preserve">6182.82</t>
  </si>
  <si>
    <t xml:space="preserve">ORD-3758</t>
  </si>
  <si>
    <t xml:space="preserve">07-24-2024</t>
  </si>
  <si>
    <t xml:space="preserve">2024-07-31</t>
  </si>
  <si>
    <t xml:space="preserve">CUST-2132</t>
  </si>
  <si>
    <t xml:space="preserve">Michael Brown</t>
  </si>
  <si>
    <t xml:space="preserve">SEATTLE</t>
  </si>
  <si>
    <t xml:space="preserve">312.56</t>
  </si>
  <si>
    <t xml:space="preserve">ORD-8364</t>
  </si>
  <si>
    <t xml:space="preserve">26-Oct-2023</t>
  </si>
  <si>
    <t xml:space="preserve">28-Oct-2023</t>
  </si>
  <si>
    <t xml:space="preserve">CUST-2061</t>
  </si>
  <si>
    <t xml:space="preserve">Shannon Green</t>
  </si>
  <si>
    <t xml:space="preserve">168.14</t>
  </si>
  <si>
    <t xml:space="preserve">ORD-11963</t>
  </si>
  <si>
    <t xml:space="preserve">23-May-2026</t>
  </si>
  <si>
    <t xml:space="preserve">24/05/2026</t>
  </si>
  <si>
    <t xml:space="preserve">CUST-1431</t>
  </si>
  <si>
    <t xml:space="preserve">Jack White</t>
  </si>
  <si>
    <t xml:space="preserve">Picture Frame</t>
  </si>
  <si>
    <t xml:space="preserve">232.05</t>
  </si>
  <si>
    <t xml:space="preserve">ORD-9285</t>
  </si>
  <si>
    <t xml:space="preserve">10-28-2025</t>
  </si>
  <si>
    <t xml:space="preserve">04-Nov-2025</t>
  </si>
  <si>
    <t xml:space="preserve">CUST-2336</t>
  </si>
  <si>
    <t xml:space="preserve">Charles Frost</t>
  </si>
  <si>
    <t xml:space="preserve">1568.82</t>
  </si>
  <si>
    <t xml:space="preserve">ORD-12538</t>
  </si>
  <si>
    <t xml:space="preserve">2026-04-15</t>
  </si>
  <si>
    <t xml:space="preserve">2026-04-19</t>
  </si>
  <si>
    <t xml:space="preserve">CUST-1623</t>
  </si>
  <si>
    <t xml:space="preserve">Colleen Wright</t>
  </si>
  <si>
    <t xml:space="preserve">boston</t>
  </si>
  <si>
    <t xml:space="preserve">Wireless Mouse</t>
  </si>
  <si>
    <t xml:space="preserve">1218.26</t>
  </si>
  <si>
    <t xml:space="preserve">ORD-9718</t>
  </si>
  <si>
    <t xml:space="preserve">2026-03-26</t>
  </si>
  <si>
    <t xml:space="preserve">03-31-2026</t>
  </si>
  <si>
    <t xml:space="preserve">CUST-1336</t>
  </si>
  <si>
    <t xml:space="preserve">Daniel Kane</t>
  </si>
  <si>
    <t xml:space="preserve">Raleigh</t>
  </si>
  <si>
    <t xml:space="preserve">3027.12</t>
  </si>
  <si>
    <t xml:space="preserve">cash on delivery</t>
  </si>
  <si>
    <t xml:space="preserve">ORD-4685</t>
  </si>
  <si>
    <t xml:space="preserve">2023-12-13</t>
  </si>
  <si>
    <t xml:space="preserve">2023-12-15</t>
  </si>
  <si>
    <t xml:space="preserve">CUST-1250</t>
  </si>
  <si>
    <t xml:space="preserve">Isaiah Avila</t>
  </si>
  <si>
    <t xml:space="preserve">1413.9</t>
  </si>
  <si>
    <t xml:space="preserve">ORD-8461</t>
  </si>
  <si>
    <t xml:space="preserve">10-31-2023</t>
  </si>
  <si>
    <t xml:space="preserve">05/11/2023</t>
  </si>
  <si>
    <t xml:space="preserve">Denver</t>
  </si>
  <si>
    <t xml:space="preserve">508.3</t>
  </si>
  <si>
    <t xml:space="preserve">ORD-11170</t>
  </si>
  <si>
    <t xml:space="preserve">13/02/2024</t>
  </si>
  <si>
    <t xml:space="preserve">15-Feb-2024</t>
  </si>
  <si>
    <t xml:space="preserve">CUST-1692</t>
  </si>
  <si>
    <t xml:space="preserve">Crystal Mann</t>
  </si>
  <si>
    <t xml:space="preserve">CHICAGO</t>
  </si>
  <si>
    <t xml:space="preserve">336.32</t>
  </si>
  <si>
    <t xml:space="preserve">ORD-11813</t>
  </si>
  <si>
    <t xml:space="preserve">17/05/2024</t>
  </si>
  <si>
    <t xml:space="preserve">05-19-2024</t>
  </si>
  <si>
    <t xml:space="preserve">CUST-1027</t>
  </si>
  <si>
    <t xml:space="preserve">Stephanie Ross</t>
  </si>
  <si>
    <t xml:space="preserve">Philadelphia</t>
  </si>
  <si>
    <t xml:space="preserve">3-Ring Binder</t>
  </si>
  <si>
    <t xml:space="preserve">15.8</t>
  </si>
  <si>
    <t xml:space="preserve">ORD-6634</t>
  </si>
  <si>
    <t xml:space="preserve">12-12-2023</t>
  </si>
  <si>
    <t xml:space="preserve">13-Dec-2023</t>
  </si>
  <si>
    <t xml:space="preserve">CUST-1223</t>
  </si>
  <si>
    <t xml:space="preserve">Theresa Clark</t>
  </si>
  <si>
    <t xml:space="preserve">albany</t>
  </si>
  <si>
    <t xml:space="preserve">3648.8</t>
  </si>
  <si>
    <t xml:space="preserve">ORD-3968</t>
  </si>
  <si>
    <t xml:space="preserve">13-Jun-2024</t>
  </si>
  <si>
    <t xml:space="preserve">2024-06-18</t>
  </si>
  <si>
    <t xml:space="preserve">CUST-1246</t>
  </si>
  <si>
    <t xml:space="preserve">Krista Gibson</t>
  </si>
  <si>
    <t xml:space="preserve">nashville</t>
  </si>
  <si>
    <t xml:space="preserve">Tennessee</t>
  </si>
  <si>
    <t xml:space="preserve">3498.55</t>
  </si>
  <si>
    <t xml:space="preserve">ORD-17568</t>
  </si>
  <si>
    <t xml:space="preserve">16-Sep-2025</t>
  </si>
  <si>
    <t xml:space="preserve">20-Sep-2025</t>
  </si>
  <si>
    <t xml:space="preserve">CUST-1946</t>
  </si>
  <si>
    <t xml:space="preserve">Kendra Wang DVM</t>
  </si>
  <si>
    <t xml:space="preserve"> Los Angeles  </t>
  </si>
  <si>
    <t xml:space="preserve">$45.93</t>
  </si>
  <si>
    <t xml:space="preserve">ORD-3540</t>
  </si>
  <si>
    <t xml:space="preserve">04-May-2026</t>
  </si>
  <si>
    <t xml:space="preserve">05/05/2026</t>
  </si>
  <si>
    <t xml:space="preserve">CUST-1809</t>
  </si>
  <si>
    <t xml:space="preserve">Heather Page</t>
  </si>
  <si>
    <t xml:space="preserve">Dallas</t>
  </si>
  <si>
    <t xml:space="preserve">Office Desk Phone</t>
  </si>
  <si>
    <t xml:space="preserve">2216.4</t>
  </si>
  <si>
    <t xml:space="preserve">ORD-8887</t>
  </si>
  <si>
    <t xml:space="preserve">20-May-2025</t>
  </si>
  <si>
    <t xml:space="preserve">2025-05-27</t>
  </si>
  <si>
    <t xml:space="preserve">CUST-1843</t>
  </si>
  <si>
    <t xml:space="preserve">Benjamin Reyes</t>
  </si>
  <si>
    <t xml:space="preserve">1613.8</t>
  </si>
  <si>
    <t xml:space="preserve">ORD-14306</t>
  </si>
  <si>
    <t xml:space="preserve">2024-04-28</t>
  </si>
  <si>
    <t xml:space="preserve">01-May-2024</t>
  </si>
  <si>
    <t xml:space="preserve">CUST-1814</t>
  </si>
  <si>
    <t xml:space="preserve">Scott Duke</t>
  </si>
  <si>
    <t xml:space="preserve">Memphis</t>
  </si>
  <si>
    <t xml:space="preserve">1335.24</t>
  </si>
  <si>
    <t xml:space="preserve">ORD-17152</t>
  </si>
  <si>
    <t xml:space="preserve">12-Apr-2024</t>
  </si>
  <si>
    <t xml:space="preserve">16/04/2024</t>
  </si>
  <si>
    <t xml:space="preserve">CUST-1625</t>
  </si>
  <si>
    <t xml:space="preserve">Michael Miller</t>
  </si>
  <si>
    <t xml:space="preserve">109.17</t>
  </si>
  <si>
    <t xml:space="preserve">ORD-8253</t>
  </si>
  <si>
    <t xml:space="preserve">2023-07-30</t>
  </si>
  <si>
    <t xml:space="preserve">2023-08-02</t>
  </si>
  <si>
    <t xml:space="preserve">CUST-1197</t>
  </si>
  <si>
    <t xml:space="preserve">Spencer Haynes</t>
  </si>
  <si>
    <t xml:space="preserve">Detroit</t>
  </si>
  <si>
    <t xml:space="preserve">Paper Clips</t>
  </si>
  <si>
    <t xml:space="preserve">99.12</t>
  </si>
  <si>
    <t xml:space="preserve">ORD-15866</t>
  </si>
  <si>
    <t xml:space="preserve">21-Nov-2024</t>
  </si>
  <si>
    <t xml:space="preserve">2024-11-22</t>
  </si>
  <si>
    <t xml:space="preserve">CUST-1996</t>
  </si>
  <si>
    <t xml:space="preserve">Edward Stanley</t>
  </si>
  <si>
    <t xml:space="preserve">168.85</t>
  </si>
  <si>
    <t xml:space="preserve">ORD-8927</t>
  </si>
  <si>
    <t xml:space="preserve">20/09/2023</t>
  </si>
  <si>
    <t xml:space="preserve">2023-09-21</t>
  </si>
  <si>
    <t xml:space="preserve">CUST-2121</t>
  </si>
  <si>
    <t xml:space="preserve">David Hinton</t>
  </si>
  <si>
    <t xml:space="preserve">eugene</t>
  </si>
  <si>
    <t xml:space="preserve">Corner Bookcase</t>
  </si>
  <si>
    <t xml:space="preserve">184.4</t>
  </si>
  <si>
    <t xml:space="preserve">ORD-13137</t>
  </si>
  <si>
    <t xml:space="preserve">16-Apr-2024</t>
  </si>
  <si>
    <t xml:space="preserve">23/04/2024</t>
  </si>
  <si>
    <t xml:space="preserve">CUST-1966</t>
  </si>
  <si>
    <t xml:space="preserve">Marie Thompson</t>
  </si>
  <si>
    <t xml:space="preserve">Orlando</t>
  </si>
  <si>
    <t xml:space="preserve">351.0</t>
  </si>
  <si>
    <t xml:space="preserve">ORD-15137</t>
  </si>
  <si>
    <t xml:space="preserve">12-03-2023</t>
  </si>
  <si>
    <t xml:space="preserve">10/12/2023</t>
  </si>
  <si>
    <t xml:space="preserve">CUST-1886</t>
  </si>
  <si>
    <t xml:space="preserve">Jordan Williams</t>
  </si>
  <si>
    <t xml:space="preserve">27.33</t>
  </si>
  <si>
    <t xml:space="preserve">ORD-16268</t>
  </si>
  <si>
    <t xml:space="preserve">02/05/2026</t>
  </si>
  <si>
    <t xml:space="preserve">05-09-2026</t>
  </si>
  <si>
    <t xml:space="preserve">CUST-1058</t>
  </si>
  <si>
    <t xml:space="preserve">Brent Jordan</t>
  </si>
  <si>
    <t xml:space="preserve">44.91</t>
  </si>
  <si>
    <t xml:space="preserve">ORD-10575</t>
  </si>
  <si>
    <t xml:space="preserve">20/03/2024</t>
  </si>
  <si>
    <t xml:space="preserve">2024-03-25</t>
  </si>
  <si>
    <t xml:space="preserve">CUST-1351</t>
  </si>
  <si>
    <t xml:space="preserve">Kimberly Nguyen</t>
  </si>
  <si>
    <t xml:space="preserve"> Technology </t>
  </si>
  <si>
    <t xml:space="preserve">1682.6</t>
  </si>
  <si>
    <t xml:space="preserve">ORD-3227</t>
  </si>
  <si>
    <t xml:space="preserve">2025-06-14</t>
  </si>
  <si>
    <t xml:space="preserve">18/06/2025</t>
  </si>
  <si>
    <t xml:space="preserve">CUST-1236</t>
  </si>
  <si>
    <t xml:space="preserve">Andrew Reynolds</t>
  </si>
  <si>
    <t xml:space="preserve">USB Cable</t>
  </si>
  <si>
    <t xml:space="preserve">2385.8</t>
  </si>
  <si>
    <t xml:space="preserve">ORD-8200</t>
  </si>
  <si>
    <t xml:space="preserve">2023-08-17</t>
  </si>
  <si>
    <t xml:space="preserve">CUST-2004</t>
  </si>
  <si>
    <t xml:space="preserve">Mary Miller</t>
  </si>
  <si>
    <t xml:space="preserve">211.76</t>
  </si>
  <si>
    <t xml:space="preserve">ORD-5328</t>
  </si>
  <si>
    <t xml:space="preserve">06/01/2025</t>
  </si>
  <si>
    <t xml:space="preserve">11/01/2025</t>
  </si>
  <si>
    <t xml:space="preserve">CUST-2160</t>
  </si>
  <si>
    <t xml:space="preserve">Ashley Malone</t>
  </si>
  <si>
    <t xml:space="preserve"> Boulder  </t>
  </si>
  <si>
    <t xml:space="preserve">64.74</t>
  </si>
  <si>
    <t xml:space="preserve">ORD-5204</t>
  </si>
  <si>
    <t xml:space="preserve">07/08/2025</t>
  </si>
  <si>
    <t xml:space="preserve">2025-08-14</t>
  </si>
  <si>
    <t xml:space="preserve">CUST-1980</t>
  </si>
  <si>
    <t xml:space="preserve">James Oconnor</t>
  </si>
  <si>
    <t xml:space="preserve">212.76</t>
  </si>
  <si>
    <t xml:space="preserve">ORD-14633</t>
  </si>
  <si>
    <t xml:space="preserve">29-Jan-2025</t>
  </si>
  <si>
    <t xml:space="preserve">01/02/2025</t>
  </si>
  <si>
    <t xml:space="preserve">CUST-2301</t>
  </si>
  <si>
    <t xml:space="preserve">Mary Campbell</t>
  </si>
  <si>
    <t xml:space="preserve">home office</t>
  </si>
  <si>
    <t xml:space="preserve">Louisville</t>
  </si>
  <si>
    <t xml:space="preserve">Executive Leather Chair</t>
  </si>
  <si>
    <t xml:space="preserve">122.58</t>
  </si>
  <si>
    <t xml:space="preserve">ORD-14138</t>
  </si>
  <si>
    <t xml:space="preserve">30-Jul-2025</t>
  </si>
  <si>
    <t xml:space="preserve">2025-08-02</t>
  </si>
  <si>
    <t xml:space="preserve">CUST-1552</t>
  </si>
  <si>
    <t xml:space="preserve">Diana Hays</t>
  </si>
  <si>
    <t xml:space="preserve">RENO</t>
  </si>
  <si>
    <t xml:space="preserve">Stapler</t>
  </si>
  <si>
    <t xml:space="preserve">$248.92</t>
  </si>
  <si>
    <t xml:space="preserve">ORD-9423</t>
  </si>
  <si>
    <t xml:space="preserve">06-15-2024</t>
  </si>
  <si>
    <t xml:space="preserve">2024-06-19</t>
  </si>
  <si>
    <t xml:space="preserve">CUST-1653</t>
  </si>
  <si>
    <t xml:space="preserve">Amy Gordon</t>
  </si>
  <si>
    <t xml:space="preserve">tucson</t>
  </si>
  <si>
    <t xml:space="preserve">Arizona</t>
  </si>
  <si>
    <t xml:space="preserve">Glass Coffee Table</t>
  </si>
  <si>
    <t xml:space="preserve">841.56</t>
  </si>
  <si>
    <t xml:space="preserve">ORD-10826</t>
  </si>
  <si>
    <t xml:space="preserve">2026-01-14</t>
  </si>
  <si>
    <t xml:space="preserve">21/01/2026</t>
  </si>
  <si>
    <t xml:space="preserve">CUST-2155</t>
  </si>
  <si>
    <t xml:space="preserve">Lisa Torres</t>
  </si>
  <si>
    <t xml:space="preserve">BUFFALO</t>
  </si>
  <si>
    <t xml:space="preserve">21.5</t>
  </si>
  <si>
    <t xml:space="preserve">ORD-13172</t>
  </si>
  <si>
    <t xml:space="preserve">22-Apr-2024</t>
  </si>
  <si>
    <t xml:space="preserve">2024-04-23</t>
  </si>
  <si>
    <t xml:space="preserve">CUST-2379</t>
  </si>
  <si>
    <t xml:space="preserve">Michael Smith</t>
  </si>
  <si>
    <t xml:space="preserve">735.92</t>
  </si>
  <si>
    <t xml:space="preserve">ORD-3442</t>
  </si>
  <si>
    <t xml:space="preserve">24-Feb-2024</t>
  </si>
  <si>
    <t xml:space="preserve">26/02/2024</t>
  </si>
  <si>
    <t xml:space="preserve">CUST-2388</t>
  </si>
  <si>
    <t xml:space="preserve">Charles Haley</t>
  </si>
  <si>
    <t xml:space="preserve">4689.36</t>
  </si>
  <si>
    <t xml:space="preserve">ORD-9444</t>
  </si>
  <si>
    <t xml:space="preserve">2025-07-17</t>
  </si>
  <si>
    <t xml:space="preserve">07-19-2025</t>
  </si>
  <si>
    <t xml:space="preserve">CUST-1736</t>
  </si>
  <si>
    <t xml:space="preserve">Charles Turner</t>
  </si>
  <si>
    <t xml:space="preserve">Spokane</t>
  </si>
  <si>
    <t xml:space="preserve">$278.16</t>
  </si>
  <si>
    <t xml:space="preserve">ORD-16840</t>
  </si>
  <si>
    <t xml:space="preserve">09-08-2023</t>
  </si>
  <si>
    <t xml:space="preserve">15/09/2023</t>
  </si>
  <si>
    <t xml:space="preserve">CUST-1398</t>
  </si>
  <si>
    <t xml:space="preserve">Ashley Hicks</t>
  </si>
  <si>
    <t xml:space="preserve">216.24</t>
  </si>
  <si>
    <t xml:space="preserve">ORD-12942</t>
  </si>
  <si>
    <t xml:space="preserve">07-09-2024</t>
  </si>
  <si>
    <t xml:space="preserve">11/07/2024</t>
  </si>
  <si>
    <t xml:space="preserve">CUST-2117</t>
  </si>
  <si>
    <t xml:space="preserve">Erin Smith</t>
  </si>
  <si>
    <t xml:space="preserve">Kansas City</t>
  </si>
  <si>
    <t xml:space="preserve">283.59</t>
  </si>
  <si>
    <t xml:space="preserve">ORD-3317</t>
  </si>
  <si>
    <t xml:space="preserve">19-Apr-2024</t>
  </si>
  <si>
    <t xml:space="preserve">2024-04-21</t>
  </si>
  <si>
    <t xml:space="preserve">CUST-1122</t>
  </si>
  <si>
    <t xml:space="preserve">April Frost</t>
  </si>
  <si>
    <t xml:space="preserve">70.92 </t>
  </si>
  <si>
    <t xml:space="preserve">ORD-16434</t>
  </si>
  <si>
    <t xml:space="preserve">23/03/2024</t>
  </si>
  <si>
    <t xml:space="preserve">26-Mar-2024</t>
  </si>
  <si>
    <t xml:space="preserve">CUST-1829</t>
  </si>
  <si>
    <t xml:space="preserve">Kenneth Knight</t>
  </si>
  <si>
    <t xml:space="preserve">1281.7</t>
  </si>
  <si>
    <t xml:space="preserve">ORD-17192</t>
  </si>
  <si>
    <t xml:space="preserve">2025-05-31</t>
  </si>
  <si>
    <t xml:space="preserve">CUST-1608</t>
  </si>
  <si>
    <t xml:space="preserve">Rachel Bradley</t>
  </si>
  <si>
    <t xml:space="preserve">sacramento</t>
  </si>
  <si>
    <t xml:space="preserve">215.37</t>
  </si>
  <si>
    <t xml:space="preserve">ORD-12383</t>
  </si>
  <si>
    <t xml:space="preserve">2026-03-22</t>
  </si>
  <si>
    <t xml:space="preserve">25/03/2026</t>
  </si>
  <si>
    <t xml:space="preserve">CUST-1601</t>
  </si>
  <si>
    <t xml:space="preserve">Jennifer Simpson DVM</t>
  </si>
  <si>
    <t xml:space="preserve">3283.5</t>
  </si>
  <si>
    <t xml:space="preserve">ORD-16201</t>
  </si>
  <si>
    <t xml:space="preserve">03-25-2026</t>
  </si>
  <si>
    <t xml:space="preserve">2026-04-01</t>
  </si>
  <si>
    <t xml:space="preserve">CUST-2382</t>
  </si>
  <si>
    <t xml:space="preserve">John Austin</t>
  </si>
  <si>
    <t xml:space="preserve">Phoenix</t>
  </si>
  <si>
    <t xml:space="preserve">46.04</t>
  </si>
  <si>
    <t xml:space="preserve">ORD-15287</t>
  </si>
  <si>
    <t xml:space="preserve">13-Mar-2026</t>
  </si>
  <si>
    <t xml:space="preserve">17/03/2026</t>
  </si>
  <si>
    <t xml:space="preserve">CUST-1264</t>
  </si>
  <si>
    <t xml:space="preserve">Yvonne Burns</t>
  </si>
  <si>
    <t xml:space="preserve">29.97</t>
  </si>
  <si>
    <t xml:space="preserve">ORD-8782</t>
  </si>
  <si>
    <t xml:space="preserve">2025-12-22</t>
  </si>
  <si>
    <t xml:space="preserve">26/12/2025</t>
  </si>
  <si>
    <t xml:space="preserve">CUST-1484</t>
  </si>
  <si>
    <t xml:space="preserve">Jasmine Beltran</t>
  </si>
  <si>
    <t xml:space="preserve">1860.93</t>
  </si>
  <si>
    <t xml:space="preserve"> Net Banking </t>
  </si>
  <si>
    <t xml:space="preserve">ORD-13305</t>
  </si>
  <si>
    <t xml:space="preserve">23-Jan-2026</t>
  </si>
  <si>
    <t xml:space="preserve">CUST-1276</t>
  </si>
  <si>
    <t xml:space="preserve">Wayne Morgan</t>
  </si>
  <si>
    <t xml:space="preserve">Reno</t>
  </si>
  <si>
    <t xml:space="preserve">761.94</t>
  </si>
  <si>
    <t xml:space="preserve">ORD-8497</t>
  </si>
  <si>
    <t xml:space="preserve">06-Apr-2024</t>
  </si>
  <si>
    <t xml:space="preserve">04-11-2024</t>
  </si>
  <si>
    <t xml:space="preserve">CUST-2098</t>
  </si>
  <si>
    <t xml:space="preserve">Stephen Cowan</t>
  </si>
  <si>
    <t xml:space="preserve">PORTLAND</t>
  </si>
  <si>
    <t xml:space="preserve">191.62</t>
  </si>
  <si>
    <t xml:space="preserve">ORD-7536</t>
  </si>
  <si>
    <t xml:space="preserve">09-09-2024</t>
  </si>
  <si>
    <t xml:space="preserve">14-Sep-2024</t>
  </si>
  <si>
    <t xml:space="preserve">CUST-2217</t>
  </si>
  <si>
    <t xml:space="preserve">Samantha Zavala MD</t>
  </si>
  <si>
    <t xml:space="preserve">4067.77</t>
  </si>
  <si>
    <t xml:space="preserve">ORD-17720</t>
  </si>
  <si>
    <t xml:space="preserve">07-30-2024</t>
  </si>
  <si>
    <t xml:space="preserve">08-04-2024</t>
  </si>
  <si>
    <t xml:space="preserve">CUST-1561</t>
  </si>
  <si>
    <t xml:space="preserve">Kim Erickson</t>
  </si>
  <si>
    <t xml:space="preserve">51.7</t>
  </si>
  <si>
    <t xml:space="preserve">ORD-9116</t>
  </si>
  <si>
    <t xml:space="preserve">02-26-2025</t>
  </si>
  <si>
    <t xml:space="preserve">01-Mar-2025</t>
  </si>
  <si>
    <t xml:space="preserve">CUST-1933</t>
  </si>
  <si>
    <t xml:space="preserve">Samantha Foster</t>
  </si>
  <si>
    <t xml:space="preserve">Duluth</t>
  </si>
  <si>
    <t xml:space="preserve">436.28</t>
  </si>
  <si>
    <t xml:space="preserve">ORD-16853</t>
  </si>
  <si>
    <t xml:space="preserve">2025-12-11</t>
  </si>
  <si>
    <t xml:space="preserve">12-14-2025</t>
  </si>
  <si>
    <t xml:space="preserve">CUST-2220</t>
  </si>
  <si>
    <t xml:space="preserve">Erica Moon</t>
  </si>
  <si>
    <t xml:space="preserve">265.95</t>
  </si>
  <si>
    <t xml:space="preserve">ORD-14538</t>
  </si>
  <si>
    <t xml:space="preserve">26/06/2026</t>
  </si>
  <si>
    <t xml:space="preserve">03/07/2026</t>
  </si>
  <si>
    <t xml:space="preserve">CUST-1104</t>
  </si>
  <si>
    <t xml:space="preserve">Richard Henson</t>
  </si>
  <si>
    <t xml:space="preserve">156.0</t>
  </si>
  <si>
    <t xml:space="preserve">ORD-9156</t>
  </si>
  <si>
    <t xml:space="preserve">07-09-2025</t>
  </si>
  <si>
    <t xml:space="preserve">07-16-2025</t>
  </si>
  <si>
    <t xml:space="preserve">CUST-1234</t>
  </si>
  <si>
    <t xml:space="preserve">Michael Lyons</t>
  </si>
  <si>
    <t xml:space="preserve">1547.81</t>
  </si>
  <si>
    <t xml:space="preserve">ORD-5131</t>
  </si>
  <si>
    <t xml:space="preserve">2026-01-01</t>
  </si>
  <si>
    <t xml:space="preserve">01-03-2026</t>
  </si>
  <si>
    <t xml:space="preserve">CUST-1127</t>
  </si>
  <si>
    <t xml:space="preserve">Jason Powell</t>
  </si>
  <si>
    <t xml:space="preserve">606.96</t>
  </si>
  <si>
    <t xml:space="preserve">ORD-17228</t>
  </si>
  <si>
    <t xml:space="preserve">2025-07-20</t>
  </si>
  <si>
    <t xml:space="preserve">24-Jul-2025</t>
  </si>
  <si>
    <t xml:space="preserve">CUST-1150</t>
  </si>
  <si>
    <t xml:space="preserve">David Wright</t>
  </si>
  <si>
    <t xml:space="preserve">ST. LOUIS</t>
  </si>
  <si>
    <t xml:space="preserve">22.0</t>
  </si>
  <si>
    <t xml:space="preserve">ORD-10009</t>
  </si>
  <si>
    <t xml:space="preserve">26-Jul-2025</t>
  </si>
  <si>
    <t xml:space="preserve">31-Jul-2025</t>
  </si>
  <si>
    <t xml:space="preserve">CUST-1742</t>
  </si>
  <si>
    <t xml:space="preserve">George Ochoa</t>
  </si>
  <si>
    <t xml:space="preserve">philadelphia</t>
  </si>
  <si>
    <t xml:space="preserve">454.38</t>
  </si>
  <si>
    <t xml:space="preserve">ORD-7236</t>
  </si>
  <si>
    <t xml:space="preserve">04/07/2025</t>
  </si>
  <si>
    <t xml:space="preserve">2025-07-09</t>
  </si>
  <si>
    <t xml:space="preserve">CUST-1960</t>
  </si>
  <si>
    <t xml:space="preserve">Erica Johnson</t>
  </si>
  <si>
    <t xml:space="preserve">MIAMI</t>
  </si>
  <si>
    <t xml:space="preserve">309.87</t>
  </si>
  <si>
    <t xml:space="preserve">ORD-4209</t>
  </si>
  <si>
    <t xml:space="preserve">2025-04-02</t>
  </si>
  <si>
    <t xml:space="preserve">09/04/2025</t>
  </si>
  <si>
    <t xml:space="preserve">667.0</t>
  </si>
  <si>
    <t xml:space="preserve">ORD-11683</t>
  </si>
  <si>
    <t xml:space="preserve">10/03/2026</t>
  </si>
  <si>
    <t xml:space="preserve">13/03/2026</t>
  </si>
  <si>
    <t xml:space="preserve"> Consumer </t>
  </si>
  <si>
    <t xml:space="preserve">271.06</t>
  </si>
  <si>
    <t xml:space="preserve">ORD-5124</t>
  </si>
  <si>
    <t xml:space="preserve">22-Oct-2024</t>
  </si>
  <si>
    <t xml:space="preserve">27/10/2024</t>
  </si>
  <si>
    <t xml:space="preserve">CUST-2014</t>
  </si>
  <si>
    <t xml:space="preserve">William Graham</t>
  </si>
  <si>
    <t xml:space="preserve">Legal Pad</t>
  </si>
  <si>
    <t xml:space="preserve">136.51</t>
  </si>
  <si>
    <t xml:space="preserve">ORD-6420</t>
  </si>
  <si>
    <t xml:space="preserve">2025-09-14</t>
  </si>
  <si>
    <t xml:space="preserve">16/09/2025</t>
  </si>
  <si>
    <t xml:space="preserve">CUST-2198</t>
  </si>
  <si>
    <t xml:space="preserve">Emily Arnold</t>
  </si>
  <si>
    <t xml:space="preserve"> Denver  </t>
  </si>
  <si>
    <t xml:space="preserve">107.52</t>
  </si>
  <si>
    <t xml:space="preserve">ORD-16714</t>
  </si>
  <si>
    <t xml:space="preserve">10-03-2024</t>
  </si>
  <si>
    <t xml:space="preserve">10-10-2024</t>
  </si>
  <si>
    <t xml:space="preserve">CUST-1559</t>
  </si>
  <si>
    <t xml:space="preserve">Louis Martin</t>
  </si>
  <si>
    <t xml:space="preserve">186.36</t>
  </si>
  <si>
    <t xml:space="preserve">ORD-4499</t>
  </si>
  <si>
    <t xml:space="preserve">2024-08-19</t>
  </si>
  <si>
    <t xml:space="preserve">08-24-2024</t>
  </si>
  <si>
    <t xml:space="preserve">651.42</t>
  </si>
  <si>
    <t xml:space="preserve">ORD-14559</t>
  </si>
  <si>
    <t xml:space="preserve">2023-08-03</t>
  </si>
  <si>
    <t xml:space="preserve">2023-08-05</t>
  </si>
  <si>
    <t xml:space="preserve">CUST-1487</t>
  </si>
  <si>
    <t xml:space="preserve">Samantha Gardner</t>
  </si>
  <si>
    <t xml:space="preserve">Springfield</t>
  </si>
  <si>
    <t xml:space="preserve">863.16</t>
  </si>
  <si>
    <t xml:space="preserve">ORD-10777</t>
  </si>
  <si>
    <t xml:space="preserve">09/01/2026</t>
  </si>
  <si>
    <t xml:space="preserve">2026-01-13</t>
  </si>
  <si>
    <t xml:space="preserve">CUST-2292</t>
  </si>
  <si>
    <t xml:space="preserve">Christine Lopez</t>
  </si>
  <si>
    <t xml:space="preserve">1284.0</t>
  </si>
  <si>
    <t xml:space="preserve">ORD-13170</t>
  </si>
  <si>
    <t xml:space="preserve">03-11-2024</t>
  </si>
  <si>
    <t xml:space="preserve">13/03/2024</t>
  </si>
  <si>
    <t xml:space="preserve">CUST-2289</t>
  </si>
  <si>
    <t xml:space="preserve">Heather Parrish</t>
  </si>
  <si>
    <t xml:space="preserve">276.12 </t>
  </si>
  <si>
    <t xml:space="preserve">ORD-17759</t>
  </si>
  <si>
    <t xml:space="preserve">2026-06-05</t>
  </si>
  <si>
    <t xml:space="preserve">06-08-2026</t>
  </si>
  <si>
    <t xml:space="preserve">CUST-2029</t>
  </si>
  <si>
    <t xml:space="preserve">Alicia Roth</t>
  </si>
  <si>
    <t xml:space="preserve">NEW YORK CITY</t>
  </si>
  <si>
    <t xml:space="preserve">959.84</t>
  </si>
  <si>
    <t xml:space="preserve">ORD-10140</t>
  </si>
  <si>
    <t xml:space="preserve">2025-03-11</t>
  </si>
  <si>
    <t xml:space="preserve">12-Mar-2025</t>
  </si>
  <si>
    <t xml:space="preserve">CUST-1711</t>
  </si>
  <si>
    <t xml:space="preserve">Stephanie Elliott</t>
  </si>
  <si>
    <t xml:space="preserve">87.32</t>
  </si>
  <si>
    <t xml:space="preserve">ORD-3748</t>
  </si>
  <si>
    <t xml:space="preserve">2025-06-13</t>
  </si>
  <si>
    <t xml:space="preserve">CUST-1160</t>
  </si>
  <si>
    <t xml:space="preserve">Paul Castaneda</t>
  </si>
  <si>
    <t xml:space="preserve">325.17</t>
  </si>
  <si>
    <t xml:space="preserve">ORD-6596</t>
  </si>
  <si>
    <t xml:space="preserve">2026-05-02</t>
  </si>
  <si>
    <t xml:space="preserve">09/05/2026</t>
  </si>
  <si>
    <t xml:space="preserve">CUST-1888</t>
  </si>
  <si>
    <t xml:space="preserve">Chris Velazquez</t>
  </si>
  <si>
    <t xml:space="preserve">Boston</t>
  </si>
  <si>
    <t xml:space="preserve">Sticky Notes</t>
  </si>
  <si>
    <t xml:space="preserve">268.29</t>
  </si>
  <si>
    <t xml:space="preserve">ORD-15982</t>
  </si>
  <si>
    <t xml:space="preserve">2025-08-16</t>
  </si>
  <si>
    <t xml:space="preserve">18-Aug-2025</t>
  </si>
  <si>
    <t xml:space="preserve">CUST-2202</t>
  </si>
  <si>
    <t xml:space="preserve">Kimberly Morrison</t>
  </si>
  <si>
    <t xml:space="preserve">4492.08</t>
  </si>
  <si>
    <t xml:space="preserve">ORD-14165</t>
  </si>
  <si>
    <t xml:space="preserve">21/09/2025</t>
  </si>
  <si>
    <t xml:space="preserve">28-Sep-2025</t>
  </si>
  <si>
    <t xml:space="preserve">CUST-1400</t>
  </si>
  <si>
    <t xml:space="preserve">Robin Young</t>
  </si>
  <si>
    <t xml:space="preserve">Storage Box</t>
  </si>
  <si>
    <t xml:space="preserve">118.36</t>
  </si>
  <si>
    <t xml:space="preserve">ORD-5822</t>
  </si>
  <si>
    <t xml:space="preserve">02-11-2024</t>
  </si>
  <si>
    <t xml:space="preserve">15/02/2024</t>
  </si>
  <si>
    <t xml:space="preserve">CUST-2070</t>
  </si>
  <si>
    <t xml:space="preserve">Susan Powers</t>
  </si>
  <si>
    <t xml:space="preserve">2798.3</t>
  </si>
  <si>
    <t xml:space="preserve">ORD-9747</t>
  </si>
  <si>
    <t xml:space="preserve">23-Aug-2023</t>
  </si>
  <si>
    <t xml:space="preserve">2023-08-28</t>
  </si>
  <si>
    <t xml:space="preserve">CUST-1830</t>
  </si>
  <si>
    <t xml:space="preserve">Mr. Michael Williams</t>
  </si>
  <si>
    <t xml:space="preserve">1202.94</t>
  </si>
  <si>
    <t xml:space="preserve">ORD-17243</t>
  </si>
  <si>
    <t xml:space="preserve">11-06-2024</t>
  </si>
  <si>
    <t xml:space="preserve">09/11/2024</t>
  </si>
  <si>
    <t xml:space="preserve">CUST-2080</t>
  </si>
  <si>
    <t xml:space="preserve">Kathryn Dillon</t>
  </si>
  <si>
    <t xml:space="preserve">2557.38</t>
  </si>
  <si>
    <t xml:space="preserve">ORD-10618</t>
  </si>
  <si>
    <t xml:space="preserve">2026-05-20</t>
  </si>
  <si>
    <t xml:space="preserve">05-25-2026</t>
  </si>
  <si>
    <t xml:space="preserve">CUST-1639</t>
  </si>
  <si>
    <t xml:space="preserve">Janet Kane DVM</t>
  </si>
  <si>
    <t xml:space="preserve">1607.05</t>
  </si>
  <si>
    <t xml:space="preserve">ORD-12000</t>
  </si>
  <si>
    <t xml:space="preserve">2024-11-25</t>
  </si>
  <si>
    <t xml:space="preserve">29/11/2024</t>
  </si>
  <si>
    <t xml:space="preserve">CUST-2350</t>
  </si>
  <si>
    <t xml:space="preserve">Destiny Obrien</t>
  </si>
  <si>
    <t xml:space="preserve">ATLANTA</t>
  </si>
  <si>
    <t xml:space="preserve">1181.36</t>
  </si>
  <si>
    <t xml:space="preserve">ORD-7151</t>
  </si>
  <si>
    <t xml:space="preserve">19-May-2026</t>
  </si>
  <si>
    <t xml:space="preserve">CUST-1449</t>
  </si>
  <si>
    <t xml:space="preserve">Phillip Nelson</t>
  </si>
  <si>
    <t xml:space="preserve"> Lexington  </t>
  </si>
  <si>
    <t xml:space="preserve">97.35</t>
  </si>
  <si>
    <t xml:space="preserve">ORD-3321</t>
  </si>
  <si>
    <t xml:space="preserve">2025-09-19</t>
  </si>
  <si>
    <t xml:space="preserve">2025-09-26</t>
  </si>
  <si>
    <t xml:space="preserve">CUST-1480</t>
  </si>
  <si>
    <t xml:space="preserve">Dawn Mullins</t>
  </si>
  <si>
    <t xml:space="preserve">birmingham</t>
  </si>
  <si>
    <t xml:space="preserve">2026.31</t>
  </si>
  <si>
    <t xml:space="preserve">ORD-7457</t>
  </si>
  <si>
    <t xml:space="preserve">07-01-2025</t>
  </si>
  <si>
    <t xml:space="preserve">05/07/2025</t>
  </si>
  <si>
    <t xml:space="preserve">CUST-2349</t>
  </si>
  <si>
    <t xml:space="preserve">Suzanne Bailey</t>
  </si>
  <si>
    <t xml:space="preserve">boulder</t>
  </si>
  <si>
    <t xml:space="preserve">5525.4</t>
  </si>
  <si>
    <t xml:space="preserve">ORD-9560</t>
  </si>
  <si>
    <t xml:space="preserve">05-12-2024</t>
  </si>
  <si>
    <t xml:space="preserve">14-May-2024</t>
  </si>
  <si>
    <t xml:space="preserve">CUST-1876</t>
  </si>
  <si>
    <t xml:space="preserve">Michael Miles</t>
  </si>
  <si>
    <t xml:space="preserve">Montgomery</t>
  </si>
  <si>
    <t xml:space="preserve">60.15</t>
  </si>
  <si>
    <t xml:space="preserve">ORD-5914</t>
  </si>
  <si>
    <t xml:space="preserve">2024-08-04</t>
  </si>
  <si>
    <t xml:space="preserve">08-05-2024</t>
  </si>
  <si>
    <t xml:space="preserve">CUST-1542</t>
  </si>
  <si>
    <t xml:space="preserve">Kenneth Edwards</t>
  </si>
  <si>
    <t xml:space="preserve">198.92</t>
  </si>
  <si>
    <t xml:space="preserve">ORD-7476</t>
  </si>
  <si>
    <t xml:space="preserve">07-Feb-2024</t>
  </si>
  <si>
    <t xml:space="preserve">2024-02-10</t>
  </si>
  <si>
    <t xml:space="preserve">CUST-2180</t>
  </si>
  <si>
    <t xml:space="preserve">Michelle Walls</t>
  </si>
  <si>
    <t xml:space="preserve">1680.32</t>
  </si>
  <si>
    <t xml:space="preserve">ORD-11611</t>
  </si>
  <si>
    <t xml:space="preserve">2026-03-18</t>
  </si>
  <si>
    <t xml:space="preserve">25-Mar-2026</t>
  </si>
  <si>
    <t xml:space="preserve">CUST-1435</t>
  </si>
  <si>
    <t xml:space="preserve">Sophia Johnson</t>
  </si>
  <si>
    <t xml:space="preserve">6839.52</t>
  </si>
  <si>
    <t xml:space="preserve">ORD-17325</t>
  </si>
  <si>
    <t xml:space="preserve">30/09/2024</t>
  </si>
  <si>
    <t xml:space="preserve">02/10/2024</t>
  </si>
  <si>
    <t xml:space="preserve">CUST-1767</t>
  </si>
  <si>
    <t xml:space="preserve">Haley Johnson</t>
  </si>
  <si>
    <t xml:space="preserve">11085.72</t>
  </si>
  <si>
    <t xml:space="preserve">ORD-17930</t>
  </si>
  <si>
    <t xml:space="preserve">04-15-2025</t>
  </si>
  <si>
    <t xml:space="preserve">2025-04-20</t>
  </si>
  <si>
    <t xml:space="preserve">CUST-1729</t>
  </si>
  <si>
    <t xml:space="preserve">Derrick Anderson</t>
  </si>
  <si>
    <t xml:space="preserve">1166.4</t>
  </si>
  <si>
    <t xml:space="preserve">ORD-14403</t>
  </si>
  <si>
    <t xml:space="preserve">2026-03-29</t>
  </si>
  <si>
    <t xml:space="preserve">2026-04-03</t>
  </si>
  <si>
    <t xml:space="preserve">CUST-1538</t>
  </si>
  <si>
    <t xml:space="preserve">Emma Owens</t>
  </si>
  <si>
    <t xml:space="preserve">2487.69</t>
  </si>
  <si>
    <t xml:space="preserve">ORD-12984</t>
  </si>
  <si>
    <t xml:space="preserve">28-Feb-2025</t>
  </si>
  <si>
    <t xml:space="preserve">05/03/2025</t>
  </si>
  <si>
    <t xml:space="preserve">CUST-1763</t>
  </si>
  <si>
    <t xml:space="preserve">Jessica Smith</t>
  </si>
  <si>
    <t xml:space="preserve">256.1</t>
  </si>
  <si>
    <t xml:space="preserve">ORD-5186</t>
  </si>
  <si>
    <t xml:space="preserve">28-Nov-2025</t>
  </si>
  <si>
    <t xml:space="preserve">01/12/2025</t>
  </si>
  <si>
    <t xml:space="preserve">CUST-1626</t>
  </si>
  <si>
    <t xml:space="preserve">Amy Kelley</t>
  </si>
  <si>
    <t xml:space="preserve">las vegas</t>
  </si>
  <si>
    <t xml:space="preserve">5702.8</t>
  </si>
  <si>
    <t xml:space="preserve">ORD-17158</t>
  </si>
  <si>
    <t xml:space="preserve">12/07/2025</t>
  </si>
  <si>
    <t xml:space="preserve">19/07/2025</t>
  </si>
  <si>
    <t xml:space="preserve">CUST-1474</t>
  </si>
  <si>
    <t xml:space="preserve">Robin Thompson</t>
  </si>
  <si>
    <t xml:space="preserve">258.84</t>
  </si>
  <si>
    <t xml:space="preserve">ORD-12275</t>
  </si>
  <si>
    <t xml:space="preserve">05-Jan-2026</t>
  </si>
  <si>
    <t xml:space="preserve">07/01/2026</t>
  </si>
  <si>
    <t xml:space="preserve">CUST-1502</t>
  </si>
  <si>
    <t xml:space="preserve">Mr. Justin Green III</t>
  </si>
  <si>
    <t xml:space="preserve">132.81</t>
  </si>
  <si>
    <t xml:space="preserve">ORD-7923</t>
  </si>
  <si>
    <t xml:space="preserve">08-Feb-2025</t>
  </si>
  <si>
    <t xml:space="preserve">10/02/2025</t>
  </si>
  <si>
    <t xml:space="preserve">CUST-2354</t>
  </si>
  <si>
    <t xml:space="preserve">Tina Walter</t>
  </si>
  <si>
    <t xml:space="preserve">san diego</t>
  </si>
  <si>
    <t xml:space="preserve">8031.72</t>
  </si>
  <si>
    <t xml:space="preserve"> Credit Card </t>
  </si>
  <si>
    <t xml:space="preserve">ORD-3155</t>
  </si>
  <si>
    <t xml:space="preserve">2024-12-02</t>
  </si>
  <si>
    <t xml:space="preserve">07-Dec-2024</t>
  </si>
  <si>
    <t xml:space="preserve">CUST-2000</t>
  </si>
  <si>
    <t xml:space="preserve">Matthew Davis MD</t>
  </si>
  <si>
    <t xml:space="preserve">ORLANDO</t>
  </si>
  <si>
    <t xml:space="preserve">865.44</t>
  </si>
  <si>
    <t xml:space="preserve">ORD-11286</t>
  </si>
  <si>
    <t xml:space="preserve">05-01-2026</t>
  </si>
  <si>
    <t xml:space="preserve">05-06-2026</t>
  </si>
  <si>
    <t xml:space="preserve">2784.24</t>
  </si>
  <si>
    <t xml:space="preserve">ORD-12770</t>
  </si>
  <si>
    <t xml:space="preserve">02/06/2025</t>
  </si>
  <si>
    <t xml:space="preserve">06/06/2025</t>
  </si>
  <si>
    <t xml:space="preserve">CUST-1327</t>
  </si>
  <si>
    <t xml:space="preserve">Trevor Johnson</t>
  </si>
  <si>
    <t xml:space="preserve">spokane</t>
  </si>
  <si>
    <t xml:space="preserve">1353.96</t>
  </si>
  <si>
    <t xml:space="preserve">ORD-9427</t>
  </si>
  <si>
    <t xml:space="preserve">27/02/2025</t>
  </si>
  <si>
    <t xml:space="preserve">02-28-2025</t>
  </si>
  <si>
    <t xml:space="preserve">CUST-2084</t>
  </si>
  <si>
    <t xml:space="preserve">Eugene Baldwin</t>
  </si>
  <si>
    <t xml:space="preserve">4247.76</t>
  </si>
  <si>
    <t xml:space="preserve">ORD-10590</t>
  </si>
  <si>
    <t xml:space="preserve">14-Feb-2024</t>
  </si>
  <si>
    <t xml:space="preserve">02-17-2024</t>
  </si>
  <si>
    <t xml:space="preserve">CUST-1303</t>
  </si>
  <si>
    <t xml:space="preserve">Sara Fuller</t>
  </si>
  <si>
    <t xml:space="preserve">ALBANY</t>
  </si>
  <si>
    <t xml:space="preserve">1018.05</t>
  </si>
  <si>
    <t xml:space="preserve">ORD-7930</t>
  </si>
  <si>
    <t xml:space="preserve">03-06-2025</t>
  </si>
  <si>
    <t xml:space="preserve">CUST-2214</t>
  </si>
  <si>
    <t xml:space="preserve">Anna Walker</t>
  </si>
  <si>
    <t xml:space="preserve">1992.36</t>
  </si>
  <si>
    <t xml:space="preserve">ORD-4820</t>
  </si>
  <si>
    <t xml:space="preserve">31-Mar-2025</t>
  </si>
  <si>
    <t xml:space="preserve">02-Apr-2025</t>
  </si>
  <si>
    <t xml:space="preserve">CUST-1443</t>
  </si>
  <si>
    <t xml:space="preserve">Holly Valentine</t>
  </si>
  <si>
    <t xml:space="preserve">980.48</t>
  </si>
  <si>
    <t xml:space="preserve">ORD-15558</t>
  </si>
  <si>
    <t xml:space="preserve">18-Jun-2026</t>
  </si>
  <si>
    <t xml:space="preserve">22/06/2026</t>
  </si>
  <si>
    <t xml:space="preserve">191.76</t>
  </si>
  <si>
    <t xml:space="preserve">ORD-10413</t>
  </si>
  <si>
    <t xml:space="preserve">09-17-2025</t>
  </si>
  <si>
    <t xml:space="preserve">18-Sep-2025</t>
  </si>
  <si>
    <t xml:space="preserve">CUST-2085</t>
  </si>
  <si>
    <t xml:space="preserve">Katherine Welch</t>
  </si>
  <si>
    <t xml:space="preserve">2706.55</t>
  </si>
  <si>
    <t xml:space="preserve">ORD-12296</t>
  </si>
  <si>
    <t xml:space="preserve">11-Sep-2024</t>
  </si>
  <si>
    <t xml:space="preserve">CUST-1813</t>
  </si>
  <si>
    <t xml:space="preserve">Michael Roberts</t>
  </si>
  <si>
    <t xml:space="preserve">1733.16</t>
  </si>
  <si>
    <t xml:space="preserve">ORD-11970</t>
  </si>
  <si>
    <t xml:space="preserve">2024-02-29</t>
  </si>
  <si>
    <t xml:space="preserve">04-Mar-2024</t>
  </si>
  <si>
    <t xml:space="preserve">CUST-2130</t>
  </si>
  <si>
    <t xml:space="preserve">James Jefferson</t>
  </si>
  <si>
    <t xml:space="preserve">pittsburgh</t>
  </si>
  <si>
    <t xml:space="preserve">285.06</t>
  </si>
  <si>
    <t xml:space="preserve">ORD-4406</t>
  </si>
  <si>
    <t xml:space="preserve">09-12-2024</t>
  </si>
  <si>
    <t xml:space="preserve">16/09/2024</t>
  </si>
  <si>
    <t xml:space="preserve">CUST-1279</t>
  </si>
  <si>
    <t xml:space="preserve">Nathan Malone</t>
  </si>
  <si>
    <t xml:space="preserve">294.5</t>
  </si>
  <si>
    <t xml:space="preserve">ORD-8985</t>
  </si>
  <si>
    <t xml:space="preserve">2023-09-10</t>
  </si>
  <si>
    <t xml:space="preserve">09-12-2023</t>
  </si>
  <si>
    <t xml:space="preserve">CUST-1125</t>
  </si>
  <si>
    <t xml:space="preserve">Erin Edwards</t>
  </si>
  <si>
    <t xml:space="preserve"> Montgomery  </t>
  </si>
  <si>
    <t xml:space="preserve">236.4</t>
  </si>
  <si>
    <t xml:space="preserve">ORD-6119</t>
  </si>
  <si>
    <t xml:space="preserve">23-Aug-2024</t>
  </si>
  <si>
    <t xml:space="preserve">24-Aug-2024</t>
  </si>
  <si>
    <t xml:space="preserve">CUST-1557</t>
  </si>
  <si>
    <t xml:space="preserve">Gary Wells</t>
  </si>
  <si>
    <t xml:space="preserve">newark</t>
  </si>
  <si>
    <t xml:space="preserve">49.6</t>
  </si>
  <si>
    <t xml:space="preserve">ORD-8334</t>
  </si>
  <si>
    <t xml:space="preserve">19/12/2024</t>
  </si>
  <si>
    <t xml:space="preserve">12-20-2024</t>
  </si>
  <si>
    <t xml:space="preserve">CUST-1211</t>
  </si>
  <si>
    <t xml:space="preserve">Denise Mccann</t>
  </si>
  <si>
    <t xml:space="preserve">charlotte</t>
  </si>
  <si>
    <t xml:space="preserve">51.15</t>
  </si>
  <si>
    <t xml:space="preserve">ORD-5592</t>
  </si>
  <si>
    <t xml:space="preserve">08-28-2025</t>
  </si>
  <si>
    <t xml:space="preserve">01/09/2025</t>
  </si>
  <si>
    <t xml:space="preserve">CUST-2387</t>
  </si>
  <si>
    <t xml:space="preserve">David Reynolds</t>
  </si>
  <si>
    <t xml:space="preserve">2113.86</t>
  </si>
  <si>
    <t xml:space="preserve">ORD-9466</t>
  </si>
  <si>
    <t xml:space="preserve">2024-12-24</t>
  </si>
  <si>
    <t xml:space="preserve">CUST-1661</t>
  </si>
  <si>
    <t xml:space="preserve">Emma Butler</t>
  </si>
  <si>
    <t xml:space="preserve">140.5</t>
  </si>
  <si>
    <t xml:space="preserve">ORD-8282</t>
  </si>
  <si>
    <t xml:space="preserve">10-09-2025</t>
  </si>
  <si>
    <t xml:space="preserve">10/10/2025</t>
  </si>
  <si>
    <t xml:space="preserve">CUST-1153</t>
  </si>
  <si>
    <t xml:space="preserve">Devon Flores</t>
  </si>
  <si>
    <t xml:space="preserve">Tampa</t>
  </si>
  <si>
    <t xml:space="preserve">221.83</t>
  </si>
  <si>
    <t xml:space="preserve">ORD-6528</t>
  </si>
  <si>
    <t xml:space="preserve">2026-06-25</t>
  </si>
  <si>
    <t xml:space="preserve">28/06/2026</t>
  </si>
  <si>
    <t xml:space="preserve">CUST-1182</t>
  </si>
  <si>
    <t xml:space="preserve">Angela Vaughn</t>
  </si>
  <si>
    <t xml:space="preserve">37.72</t>
  </si>
  <si>
    <t xml:space="preserve">ORD-7014</t>
  </si>
  <si>
    <t xml:space="preserve">2025-11-27</t>
  </si>
  <si>
    <t xml:space="preserve">29/11/2025</t>
  </si>
  <si>
    <t xml:space="preserve">MONTGOMERY</t>
  </si>
  <si>
    <t xml:space="preserve">240.81</t>
  </si>
  <si>
    <t xml:space="preserve">ORD-6587</t>
  </si>
  <si>
    <t xml:space="preserve">23/02/2026</t>
  </si>
  <si>
    <t xml:space="preserve">26/02/2026</t>
  </si>
  <si>
    <t xml:space="preserve">CUST-1401</t>
  </si>
  <si>
    <t xml:space="preserve">Craig Morrison</t>
  </si>
  <si>
    <t xml:space="preserve">404.32</t>
  </si>
  <si>
    <t xml:space="preserve">ORD-10313</t>
  </si>
  <si>
    <t xml:space="preserve">10-12-2025</t>
  </si>
  <si>
    <t xml:space="preserve">17-Oct-2025</t>
  </si>
  <si>
    <t xml:space="preserve">CUST-2147</t>
  </si>
  <si>
    <t xml:space="preserve">Sarah Booth</t>
  </si>
  <si>
    <t xml:space="preserve">New York City</t>
  </si>
  <si>
    <t xml:space="preserve">276.36</t>
  </si>
  <si>
    <t xml:space="preserve">ORD-15036</t>
  </si>
  <si>
    <t xml:space="preserve">02-24-2025</t>
  </si>
  <si>
    <t xml:space="preserve">2025-02-25</t>
  </si>
  <si>
    <t xml:space="preserve">atlanta</t>
  </si>
  <si>
    <t xml:space="preserve">5381.76</t>
  </si>
  <si>
    <t xml:space="preserve">ORD-17816</t>
  </si>
  <si>
    <t xml:space="preserve">10-23-2025</t>
  </si>
  <si>
    <t xml:space="preserve">24/10/2025</t>
  </si>
  <si>
    <t xml:space="preserve">CUST-1208</t>
  </si>
  <si>
    <t xml:space="preserve">Dr. William Warren</t>
  </si>
  <si>
    <t xml:space="preserve">3679.65</t>
  </si>
  <si>
    <t xml:space="preserve">ORD-9127</t>
  </si>
  <si>
    <t xml:space="preserve">2024-06-03</t>
  </si>
  <si>
    <t xml:space="preserve">06-08-2024</t>
  </si>
  <si>
    <t xml:space="preserve">CUST-1062</t>
  </si>
  <si>
    <t xml:space="preserve">Connor West</t>
  </si>
  <si>
    <t xml:space="preserve">RALEIGH</t>
  </si>
  <si>
    <t xml:space="preserve">3813.1</t>
  </si>
  <si>
    <t xml:space="preserve">ORD-14230</t>
  </si>
  <si>
    <t xml:space="preserve">26/01/2024</t>
  </si>
  <si>
    <t xml:space="preserve">31-Jan-2024</t>
  </si>
  <si>
    <t xml:space="preserve">CUST-1341</t>
  </si>
  <si>
    <t xml:space="preserve">Cynthia Morris</t>
  </si>
  <si>
    <t xml:space="preserve">297.64</t>
  </si>
  <si>
    <t xml:space="preserve">ORD-10339</t>
  </si>
  <si>
    <t xml:space="preserve">20/10/2023</t>
  </si>
  <si>
    <t xml:space="preserve">24-Oct-2023</t>
  </si>
  <si>
    <t xml:space="preserve">CUST-1090</t>
  </si>
  <si>
    <t xml:space="preserve">Matthew Mcmillan</t>
  </si>
  <si>
    <t xml:space="preserve">54.06</t>
  </si>
  <si>
    <t xml:space="preserve">ORD-12151</t>
  </si>
  <si>
    <t xml:space="preserve">19/03/2026</t>
  </si>
  <si>
    <t xml:space="preserve">20/03/2026</t>
  </si>
  <si>
    <t xml:space="preserve">CUST-2042</t>
  </si>
  <si>
    <t xml:space="preserve">Kathy Reid</t>
  </si>
  <si>
    <t xml:space="preserve">2433.6</t>
  </si>
  <si>
    <t xml:space="preserve">ORD-5034</t>
  </si>
  <si>
    <t xml:space="preserve">24/08/2025</t>
  </si>
  <si>
    <t xml:space="preserve">28-Aug-2025</t>
  </si>
  <si>
    <t xml:space="preserve">CUST-1595</t>
  </si>
  <si>
    <t xml:space="preserve">Sherry Woods</t>
  </si>
  <si>
    <t xml:space="preserve">4193.01</t>
  </si>
  <si>
    <t xml:space="preserve">ORD-15835</t>
  </si>
  <si>
    <t xml:space="preserve">08-Feb-2026</t>
  </si>
  <si>
    <t xml:space="preserve">09/02/2026</t>
  </si>
  <si>
    <t xml:space="preserve">CUST-1479</t>
  </si>
  <si>
    <t xml:space="preserve">Kaylee Hays</t>
  </si>
  <si>
    <t xml:space="preserve">Sacramento</t>
  </si>
  <si>
    <t xml:space="preserve">86.2</t>
  </si>
  <si>
    <t xml:space="preserve">ORD-13185</t>
  </si>
  <si>
    <t xml:space="preserve">11/10/2025</t>
  </si>
  <si>
    <t xml:space="preserve">2025-10-13</t>
  </si>
  <si>
    <t xml:space="preserve">CUST-2345</t>
  </si>
  <si>
    <t xml:space="preserve">Aaron Moore</t>
  </si>
  <si>
    <t xml:space="preserve">Nashville</t>
  </si>
  <si>
    <t xml:space="preserve">12.48</t>
  </si>
  <si>
    <t xml:space="preserve">ORD-7207</t>
  </si>
  <si>
    <t xml:space="preserve">02-Jun-2024</t>
  </si>
  <si>
    <t xml:space="preserve">CUST-1312</t>
  </si>
  <si>
    <t xml:space="preserve">Shannon Ramsey</t>
  </si>
  <si>
    <t xml:space="preserve">View Binder</t>
  </si>
  <si>
    <t xml:space="preserve">81.24</t>
  </si>
  <si>
    <t xml:space="preserve">ORD-5539</t>
  </si>
  <si>
    <t xml:space="preserve">26/07/2024</t>
  </si>
  <si>
    <t xml:space="preserve">TAMPA</t>
  </si>
  <si>
    <t xml:space="preserve">211.92</t>
  </si>
  <si>
    <t xml:space="preserve">ORD-5921</t>
  </si>
  <si>
    <t xml:space="preserve">09/06/2024</t>
  </si>
  <si>
    <t xml:space="preserve">06-11-2024</t>
  </si>
  <si>
    <t xml:space="preserve">CUST-1096</t>
  </si>
  <si>
    <t xml:space="preserve">Aaron Wise</t>
  </si>
  <si>
    <t xml:space="preserve">4709.88</t>
  </si>
  <si>
    <t xml:space="preserve">ORD-9028</t>
  </si>
  <si>
    <t xml:space="preserve">2026-03-02</t>
  </si>
  <si>
    <t xml:space="preserve">2026-03-06</t>
  </si>
  <si>
    <t xml:space="preserve">CUST-2242</t>
  </si>
  <si>
    <t xml:space="preserve">Brandy Myers</t>
  </si>
  <si>
    <t xml:space="preserve">$1561.9</t>
  </si>
  <si>
    <t xml:space="preserve">ORD-5827</t>
  </si>
  <si>
    <t xml:space="preserve">2024-02-08</t>
  </si>
  <si>
    <t xml:space="preserve">02-13-2024</t>
  </si>
  <si>
    <t xml:space="preserve">CUST-1779</t>
  </si>
  <si>
    <t xml:space="preserve">Kevin Price</t>
  </si>
  <si>
    <t xml:space="preserve">CHARLOTTE</t>
  </si>
  <si>
    <t xml:space="preserve">323.76</t>
  </si>
  <si>
    <t xml:space="preserve">ORD-16998</t>
  </si>
  <si>
    <t xml:space="preserve">23/06/2025</t>
  </si>
  <si>
    <t xml:space="preserve">24/06/2025</t>
  </si>
  <si>
    <t xml:space="preserve">CUST-1254</t>
  </si>
  <si>
    <t xml:space="preserve">Cynthia Moore</t>
  </si>
  <si>
    <t xml:space="preserve">DENVER</t>
  </si>
  <si>
    <t xml:space="preserve">420.71</t>
  </si>
  <si>
    <t xml:space="preserve">ORD-14319</t>
  </si>
  <si>
    <t xml:space="preserve">2024-07-01</t>
  </si>
  <si>
    <t xml:space="preserve">07-02-2024</t>
  </si>
  <si>
    <t xml:space="preserve">CUST-1476</t>
  </si>
  <si>
    <t xml:space="preserve">Robin Brown</t>
  </si>
  <si>
    <t xml:space="preserve">2042.04</t>
  </si>
  <si>
    <t xml:space="preserve">ORD-14311</t>
  </si>
  <si>
    <t xml:space="preserve">01-12-2024</t>
  </si>
  <si>
    <t xml:space="preserve">19-Jan-2024</t>
  </si>
  <si>
    <t xml:space="preserve">CUST-1522</t>
  </si>
  <si>
    <t xml:space="preserve">Hannah Everett</t>
  </si>
  <si>
    <t xml:space="preserve">$12.92</t>
  </si>
  <si>
    <t xml:space="preserve">ORD-3800</t>
  </si>
  <si>
    <t xml:space="preserve">19/08/2023</t>
  </si>
  <si>
    <t xml:space="preserve">2023-08-24</t>
  </si>
  <si>
    <t xml:space="preserve">CUST-1856</t>
  </si>
  <si>
    <t xml:space="preserve">Elizabeth Holmes</t>
  </si>
  <si>
    <t xml:space="preserve">395.57</t>
  </si>
  <si>
    <t xml:space="preserve">ORD-6911</t>
  </si>
  <si>
    <t xml:space="preserve">21/08/2025</t>
  </si>
  <si>
    <t xml:space="preserve">28/08/2025</t>
  </si>
  <si>
    <t xml:space="preserve">CUST-1802</t>
  </si>
  <si>
    <t xml:space="preserve">Reginald Morrow</t>
  </si>
  <si>
    <t xml:space="preserve">columbus</t>
  </si>
  <si>
    <t xml:space="preserve">10.62</t>
  </si>
  <si>
    <t xml:space="preserve">ORD-11444</t>
  </si>
  <si>
    <t xml:space="preserve">08/09/2023</t>
  </si>
  <si>
    <t xml:space="preserve">09/09/2023</t>
  </si>
  <si>
    <t xml:space="preserve">CUST-1857</t>
  </si>
  <si>
    <t xml:space="preserve">Nicole Phillips</t>
  </si>
  <si>
    <t xml:space="preserve">5158.8</t>
  </si>
  <si>
    <t xml:space="preserve">ORD-11836</t>
  </si>
  <si>
    <t xml:space="preserve">08-09-2023</t>
  </si>
  <si>
    <t xml:space="preserve">08-10-2023</t>
  </si>
  <si>
    <t xml:space="preserve">CUST-1517</t>
  </si>
  <si>
    <t xml:space="preserve">Michael Cooper</t>
  </si>
  <si>
    <t xml:space="preserve">Atlanta</t>
  </si>
  <si>
    <t xml:space="preserve">232.38</t>
  </si>
  <si>
    <t xml:space="preserve">ORD-16084</t>
  </si>
  <si>
    <t xml:space="preserve">18/12/2023</t>
  </si>
  <si>
    <t xml:space="preserve">CUST-1970</t>
  </si>
  <si>
    <t xml:space="preserve">Nicholas Rush</t>
  </si>
  <si>
    <t xml:space="preserve">87.12</t>
  </si>
  <si>
    <t xml:space="preserve">ORD-12059</t>
  </si>
  <si>
    <t xml:space="preserve">13/02/2025</t>
  </si>
  <si>
    <t xml:space="preserve">CUST-1864</t>
  </si>
  <si>
    <t xml:space="preserve">Austin Baker</t>
  </si>
  <si>
    <t xml:space="preserve">1647.36</t>
  </si>
  <si>
    <t xml:space="preserve">ORD-17527</t>
  </si>
  <si>
    <t xml:space="preserve">18-Dec-2025</t>
  </si>
  <si>
    <t xml:space="preserve">12-22-2025</t>
  </si>
  <si>
    <t xml:space="preserve">CUST-1504</t>
  </si>
  <si>
    <t xml:space="preserve">Katherine Martinez</t>
  </si>
  <si>
    <t xml:space="preserve"> Nashville  </t>
  </si>
  <si>
    <t xml:space="preserve">2061.12</t>
  </si>
  <si>
    <t xml:space="preserve">ORD-5383</t>
  </si>
  <si>
    <t xml:space="preserve">18-Feb-2026</t>
  </si>
  <si>
    <t xml:space="preserve">20-Feb-2026</t>
  </si>
  <si>
    <t xml:space="preserve">CUST-2060</t>
  </si>
  <si>
    <t xml:space="preserve">Arthur Mcneil</t>
  </si>
  <si>
    <t xml:space="preserve">$140.58</t>
  </si>
  <si>
    <t xml:space="preserve">ORD-5228</t>
  </si>
  <si>
    <t xml:space="preserve">05-19-2026</t>
  </si>
  <si>
    <t xml:space="preserve">2026-05-22</t>
  </si>
  <si>
    <t xml:space="preserve">289.24</t>
  </si>
  <si>
    <t xml:space="preserve">ORD-16027</t>
  </si>
  <si>
    <t xml:space="preserve">23/11/2023</t>
  </si>
  <si>
    <t xml:space="preserve">11-28-2023</t>
  </si>
  <si>
    <t xml:space="preserve">CUST-1072</t>
  </si>
  <si>
    <t xml:space="preserve">Brittney Phillips</t>
  </si>
  <si>
    <t xml:space="preserve">5752.7</t>
  </si>
  <si>
    <t xml:space="preserve">ORD-13602</t>
  </si>
  <si>
    <t xml:space="preserve">29-Nov-2025</t>
  </si>
  <si>
    <t xml:space="preserve">3589.29</t>
  </si>
  <si>
    <t xml:space="preserve">ORD-3413</t>
  </si>
  <si>
    <t xml:space="preserve">31/07/2024</t>
  </si>
  <si>
    <t xml:space="preserve">07/08/2024</t>
  </si>
  <si>
    <t xml:space="preserve">CUST-1415</t>
  </si>
  <si>
    <t xml:space="preserve">Antonio Garcia</t>
  </si>
  <si>
    <t xml:space="preserve">duluth</t>
  </si>
  <si>
    <t xml:space="preserve">108.84</t>
  </si>
  <si>
    <t xml:space="preserve">ORD-13067</t>
  </si>
  <si>
    <t xml:space="preserve">01-02-2025</t>
  </si>
  <si>
    <t xml:space="preserve">2025-01-06</t>
  </si>
  <si>
    <t xml:space="preserve">CUST-1706</t>
  </si>
  <si>
    <t xml:space="preserve">Adam Jackson</t>
  </si>
  <si>
    <t xml:space="preserve">733.56</t>
  </si>
  <si>
    <t xml:space="preserve">ORD-9625</t>
  </si>
  <si>
    <t xml:space="preserve">02-Dec-2025</t>
  </si>
  <si>
    <t xml:space="preserve">04-Dec-2025</t>
  </si>
  <si>
    <t xml:space="preserve">CUST-1655</t>
  </si>
  <si>
    <t xml:space="preserve">Kyle Chambers</t>
  </si>
  <si>
    <t xml:space="preserve">1197.27</t>
  </si>
  <si>
    <t xml:space="preserve">ORD-9495</t>
  </si>
  <si>
    <t xml:space="preserve">12-Oct-2025</t>
  </si>
  <si>
    <t xml:space="preserve">10-15-2025</t>
  </si>
  <si>
    <t xml:space="preserve">CUST-1782</t>
  </si>
  <si>
    <t xml:space="preserve">Chelsea Nguyen</t>
  </si>
  <si>
    <t xml:space="preserve">3105.3</t>
  </si>
  <si>
    <t xml:space="preserve">ORD-11022</t>
  </si>
  <si>
    <t xml:space="preserve">02-12-2025</t>
  </si>
  <si>
    <t xml:space="preserve">2025-02-13</t>
  </si>
  <si>
    <t xml:space="preserve">CUST-1015</t>
  </si>
  <si>
    <t xml:space="preserve">Brian Ramirez</t>
  </si>
  <si>
    <t xml:space="preserve">893.0</t>
  </si>
  <si>
    <t xml:space="preserve">ORD-14299</t>
  </si>
  <si>
    <t xml:space="preserve">23-Jul-2023</t>
  </si>
  <si>
    <t xml:space="preserve">2023-07-24</t>
  </si>
  <si>
    <t xml:space="preserve">CUST-2358</t>
  </si>
  <si>
    <t xml:space="preserve">Kevin Johnson</t>
  </si>
  <si>
    <t xml:space="preserve">240.5</t>
  </si>
  <si>
    <t xml:space="preserve">ORD-4623</t>
  </si>
  <si>
    <t xml:space="preserve">2025-09-24</t>
  </si>
  <si>
    <t xml:space="preserve">2025-09-29</t>
  </si>
  <si>
    <t xml:space="preserve">CUST-1832</t>
  </si>
  <si>
    <t xml:space="preserve">Scott Alexander</t>
  </si>
  <si>
    <t xml:space="preserve">1288.17</t>
  </si>
  <si>
    <t xml:space="preserve">ORD-12554</t>
  </si>
  <si>
    <t xml:space="preserve">02/02/2026</t>
  </si>
  <si>
    <t xml:space="preserve">2026-02-03</t>
  </si>
  <si>
    <t xml:space="preserve">CUST-1810</t>
  </si>
  <si>
    <t xml:space="preserve">Carol Taylor</t>
  </si>
  <si>
    <t xml:space="preserve">2702.7</t>
  </si>
  <si>
    <t xml:space="preserve">ORD-14977</t>
  </si>
  <si>
    <t xml:space="preserve">12/10/2025</t>
  </si>
  <si>
    <t xml:space="preserve">13/10/2025</t>
  </si>
  <si>
    <t xml:space="preserve">CUST-2072</t>
  </si>
  <si>
    <t xml:space="preserve">Catherine Davis</t>
  </si>
  <si>
    <t xml:space="preserve">4596.06</t>
  </si>
  <si>
    <t xml:space="preserve">ORD-16871</t>
  </si>
  <si>
    <t xml:space="preserve">09-05-2023</t>
  </si>
  <si>
    <t xml:space="preserve">09-09-2023</t>
  </si>
  <si>
    <t xml:space="preserve">CUST-1745</t>
  </si>
  <si>
    <t xml:space="preserve">Vincent Novak</t>
  </si>
  <si>
    <t xml:space="preserve">portland</t>
  </si>
  <si>
    <t xml:space="preserve">117.0</t>
  </si>
  <si>
    <t xml:space="preserve">ORD-16587</t>
  </si>
  <si>
    <t xml:space="preserve">05/02/2026</t>
  </si>
  <si>
    <t xml:space="preserve">06/02/2026</t>
  </si>
  <si>
    <t xml:space="preserve">CUST-1588</t>
  </si>
  <si>
    <t xml:space="preserve">Dale Ryan</t>
  </si>
  <si>
    <t xml:space="preserve">Minneapolis</t>
  </si>
  <si>
    <t xml:space="preserve">1048.62</t>
  </si>
  <si>
    <t xml:space="preserve">ORD-11467</t>
  </si>
  <si>
    <t xml:space="preserve">02-06-2024</t>
  </si>
  <si>
    <t xml:space="preserve">2024-02-13</t>
  </si>
  <si>
    <t xml:space="preserve">WORCESTER</t>
  </si>
  <si>
    <t xml:space="preserve">112.26</t>
  </si>
  <si>
    <t xml:space="preserve">ORD-11485</t>
  </si>
  <si>
    <t xml:space="preserve">22-Sep-2023</t>
  </si>
  <si>
    <t xml:space="preserve">2023-09-29</t>
  </si>
  <si>
    <t xml:space="preserve">CUST-2365</t>
  </si>
  <si>
    <t xml:space="preserve">3993.11</t>
  </si>
  <si>
    <t xml:space="preserve">ORD-12008</t>
  </si>
  <si>
    <t xml:space="preserve">03-09-2024</t>
  </si>
  <si>
    <t xml:space="preserve">CUST-1213</t>
  </si>
  <si>
    <t xml:space="preserve">Katherine Salas</t>
  </si>
  <si>
    <t xml:space="preserve">3883.25</t>
  </si>
  <si>
    <t xml:space="preserve">ORD-16051</t>
  </si>
  <si>
    <t xml:space="preserve">09-07-2024</t>
  </si>
  <si>
    <t xml:space="preserve">09/09/2024</t>
  </si>
  <si>
    <t xml:space="preserve">CUST-2314</t>
  </si>
  <si>
    <t xml:space="preserve">Marie Boyd</t>
  </si>
  <si>
    <t xml:space="preserve">worcester</t>
  </si>
  <si>
    <t xml:space="preserve">3480.84</t>
  </si>
  <si>
    <t xml:space="preserve">ORD-15741</t>
  </si>
  <si>
    <t xml:space="preserve">22-Apr-2025</t>
  </si>
  <si>
    <t xml:space="preserve">2025-04-27</t>
  </si>
  <si>
    <t xml:space="preserve">CUST-1164</t>
  </si>
  <si>
    <t xml:space="preserve">Michael Powell</t>
  </si>
  <si>
    <t xml:space="preserve">8624.0</t>
  </si>
  <si>
    <t xml:space="preserve">ORD-7077</t>
  </si>
  <si>
    <t xml:space="preserve">2024-02-12</t>
  </si>
  <si>
    <t xml:space="preserve">19/02/2024</t>
  </si>
  <si>
    <t xml:space="preserve">CUST-2022</t>
  </si>
  <si>
    <t xml:space="preserve">Kristine Garcia</t>
  </si>
  <si>
    <t xml:space="preserve">344.84</t>
  </si>
  <si>
    <t xml:space="preserve">ORD-16817</t>
  </si>
  <si>
    <t xml:space="preserve">2024-01-11</t>
  </si>
  <si>
    <t xml:space="preserve">16/01/2024</t>
  </si>
  <si>
    <t xml:space="preserve">CUST-1540</t>
  </si>
  <si>
    <t xml:space="preserve">James Gilbert</t>
  </si>
  <si>
    <t xml:space="preserve">BOSTON</t>
  </si>
  <si>
    <t xml:space="preserve">1215.16</t>
  </si>
  <si>
    <t xml:space="preserve">ORD-4507</t>
  </si>
  <si>
    <t xml:space="preserve">11-17-2023</t>
  </si>
  <si>
    <t xml:space="preserve">11-19-2023</t>
  </si>
  <si>
    <t xml:space="preserve">CUST-1355</t>
  </si>
  <si>
    <t xml:space="preserve">Jesse Perez</t>
  </si>
  <si>
    <t xml:space="preserve">EUGENE</t>
  </si>
  <si>
    <t xml:space="preserve">1439.31</t>
  </si>
  <si>
    <t xml:space="preserve">ORD-5085</t>
  </si>
  <si>
    <t xml:space="preserve">10-15-2023</t>
  </si>
  <si>
    <t xml:space="preserve">2023-10-20</t>
  </si>
  <si>
    <t xml:space="preserve"> Corporate </t>
  </si>
  <si>
    <t xml:space="preserve">157.44</t>
  </si>
  <si>
    <t xml:space="preserve">ORD-7664</t>
  </si>
  <si>
    <t xml:space="preserve">10-Jan-2026</t>
  </si>
  <si>
    <t xml:space="preserve">01-11-2026</t>
  </si>
  <si>
    <t xml:space="preserve">CUST-2108</t>
  </si>
  <si>
    <t xml:space="preserve">Kara Hernandez</t>
  </si>
  <si>
    <t xml:space="preserve">284.0</t>
  </si>
  <si>
    <t xml:space="preserve">ORD-14673</t>
  </si>
  <si>
    <t xml:space="preserve">03-26-2025</t>
  </si>
  <si>
    <t xml:space="preserve">31/03/2025</t>
  </si>
  <si>
    <t xml:space="preserve">Tucson</t>
  </si>
  <si>
    <t xml:space="preserve">626.8</t>
  </si>
  <si>
    <t xml:space="preserve">ORD-13741</t>
  </si>
  <si>
    <t xml:space="preserve">04-Aug-2023</t>
  </si>
  <si>
    <t xml:space="preserve">08/08/2023</t>
  </si>
  <si>
    <t xml:space="preserve">CUST-1075</t>
  </si>
  <si>
    <t xml:space="preserve">Sarah Moore</t>
  </si>
  <si>
    <t xml:space="preserve">314.79</t>
  </si>
  <si>
    <t xml:space="preserve">ORD-6520</t>
  </si>
  <si>
    <t xml:space="preserve">2026-06-27</t>
  </si>
  <si>
    <t xml:space="preserve">01-Jul-2026</t>
  </si>
  <si>
    <t xml:space="preserve">CUST-1471</t>
  </si>
  <si>
    <t xml:space="preserve">Richard Cooper</t>
  </si>
  <si>
    <t xml:space="preserve">169.28</t>
  </si>
  <si>
    <t xml:space="preserve">ORD-14820</t>
  </si>
  <si>
    <t xml:space="preserve">06-13-2024</t>
  </si>
  <si>
    <t xml:space="preserve">2024-06-15</t>
  </si>
  <si>
    <t xml:space="preserve">CUST-1434</t>
  </si>
  <si>
    <t xml:space="preserve">Ashley Wise</t>
  </si>
  <si>
    <t xml:space="preserve">160.5</t>
  </si>
  <si>
    <t xml:space="preserve">ORD-11421</t>
  </si>
  <si>
    <t xml:space="preserve">16/02/2026</t>
  </si>
  <si>
    <t xml:space="preserve">17/02/2026</t>
  </si>
  <si>
    <t xml:space="preserve">CUST-1899</t>
  </si>
  <si>
    <t xml:space="preserve">Christie Mccullough</t>
  </si>
  <si>
    <t xml:space="preserve">114.22</t>
  </si>
  <si>
    <t xml:space="preserve">ORD-7089</t>
  </si>
  <si>
    <t xml:space="preserve">29-Nov-2023</t>
  </si>
  <si>
    <t xml:space="preserve">06-Dec-2023</t>
  </si>
  <si>
    <t xml:space="preserve">CUST-1861</t>
  </si>
  <si>
    <t xml:space="preserve">Bonnie Valencia</t>
  </si>
  <si>
    <t xml:space="preserve">CLEVELAND</t>
  </si>
  <si>
    <t xml:space="preserve">397.87</t>
  </si>
  <si>
    <t xml:space="preserve">ORD-16073</t>
  </si>
  <si>
    <t xml:space="preserve">01-Sep-2024</t>
  </si>
  <si>
    <t xml:space="preserve">09-05-2024</t>
  </si>
  <si>
    <t xml:space="preserve">CUST-1359</t>
  </si>
  <si>
    <t xml:space="preserve">Ronald Davis</t>
  </si>
  <si>
    <t xml:space="preserve">114.16</t>
  </si>
  <si>
    <t xml:space="preserve">ORD-12007</t>
  </si>
  <si>
    <t xml:space="preserve">06-Feb-2026</t>
  </si>
  <si>
    <t xml:space="preserve">02-07-2026</t>
  </si>
  <si>
    <t xml:space="preserve">CUST-1439</t>
  </si>
  <si>
    <t xml:space="preserve">Jason Rhodes</t>
  </si>
  <si>
    <t xml:space="preserve">2166.25</t>
  </si>
  <si>
    <t xml:space="preserve">ORD-9453</t>
  </si>
  <si>
    <t xml:space="preserve">28-Feb-2026</t>
  </si>
  <si>
    <t xml:space="preserve">07/03/2026</t>
  </si>
  <si>
    <t xml:space="preserve">3129.85</t>
  </si>
  <si>
    <t xml:space="preserve">ORD-13632</t>
  </si>
  <si>
    <t xml:space="preserve">28/12/2024</t>
  </si>
  <si>
    <t xml:space="preserve">29-Dec-2024</t>
  </si>
  <si>
    <t xml:space="preserve">CUST-1330</t>
  </si>
  <si>
    <t xml:space="preserve">Vanessa Howard</t>
  </si>
  <si>
    <t xml:space="preserve">339.54</t>
  </si>
  <si>
    <t xml:space="preserve">ORD-8942</t>
  </si>
  <si>
    <t xml:space="preserve">26-Aug-2024</t>
  </si>
  <si>
    <t xml:space="preserve">30/08/2024</t>
  </si>
  <si>
    <t xml:space="preserve">CUST-1594</t>
  </si>
  <si>
    <t xml:space="preserve">Tanya Russell</t>
  </si>
  <si>
    <t xml:space="preserve">6637.9</t>
  </si>
  <si>
    <t xml:space="preserve">ORD-17922</t>
  </si>
  <si>
    <t xml:space="preserve">11-16-2025</t>
  </si>
  <si>
    <t xml:space="preserve">18-Nov-2025</t>
  </si>
  <si>
    <t xml:space="preserve">CUST-1003</t>
  </si>
  <si>
    <t xml:space="preserve">Daniel Wagner</t>
  </si>
  <si>
    <t xml:space="preserve">600.76</t>
  </si>
  <si>
    <t xml:space="preserve">ORD-12680</t>
  </si>
  <si>
    <t xml:space="preserve">06-19-2024</t>
  </si>
  <si>
    <t xml:space="preserve">2024-06-26</t>
  </si>
  <si>
    <t xml:space="preserve">5293.98</t>
  </si>
  <si>
    <t xml:space="preserve">ORD-5001</t>
  </si>
  <si>
    <t xml:space="preserve">11-04-2024</t>
  </si>
  <si>
    <t xml:space="preserve">07/11/2024</t>
  </si>
  <si>
    <t xml:space="preserve">CUST-1140</t>
  </si>
  <si>
    <t xml:space="preserve">Cheyenne Horton</t>
  </si>
  <si>
    <t xml:space="preserve">St Louis</t>
  </si>
  <si>
    <t xml:space="preserve">5612.7</t>
  </si>
  <si>
    <t xml:space="preserve">ORD-10925</t>
  </si>
  <si>
    <t xml:space="preserve">28-Jan-2024</t>
  </si>
  <si>
    <t xml:space="preserve">01-30-2024</t>
  </si>
  <si>
    <t xml:space="preserve">CUST-1630</t>
  </si>
  <si>
    <t xml:space="preserve">Rhonda Chavez</t>
  </si>
  <si>
    <t xml:space="preserve">New Orleans</t>
  </si>
  <si>
    <t xml:space="preserve">150.96</t>
  </si>
  <si>
    <t xml:space="preserve">ORD-12058</t>
  </si>
  <si>
    <t xml:space="preserve">2023-08-07</t>
  </si>
  <si>
    <t xml:space="preserve">2023-08-09</t>
  </si>
  <si>
    <t xml:space="preserve">CUST-1509</t>
  </si>
  <si>
    <t xml:space="preserve">Michelle Ho</t>
  </si>
  <si>
    <t xml:space="preserve">2249.2</t>
  </si>
  <si>
    <t xml:space="preserve">ORD-16530</t>
  </si>
  <si>
    <t xml:space="preserve">2024-12-29</t>
  </si>
  <si>
    <t xml:space="preserve">2024-12-31</t>
  </si>
  <si>
    <t xml:space="preserve">496.16</t>
  </si>
  <si>
    <t xml:space="preserve">ORD-6251</t>
  </si>
  <si>
    <t xml:space="preserve">2025-04-16</t>
  </si>
  <si>
    <t xml:space="preserve">20/04/2025</t>
  </si>
  <si>
    <t xml:space="preserve">CUST-1666</t>
  </si>
  <si>
    <t xml:space="preserve">David Harris</t>
  </si>
  <si>
    <t xml:space="preserve">Houston</t>
  </si>
  <si>
    <t xml:space="preserve">61.15</t>
  </si>
  <si>
    <t xml:space="preserve">ORD-17182</t>
  </si>
  <si>
    <t xml:space="preserve">06-04-2025</t>
  </si>
  <si>
    <t xml:space="preserve">07/06/2025</t>
  </si>
  <si>
    <t xml:space="preserve">CUST-2270</t>
  </si>
  <si>
    <t xml:space="preserve">Kevin Escobar</t>
  </si>
  <si>
    <t xml:space="preserve">jersey city</t>
  </si>
  <si>
    <t xml:space="preserve">6046.39</t>
  </si>
  <si>
    <t xml:space="preserve">ORD-5595</t>
  </si>
  <si>
    <t xml:space="preserve">11-28-2024</t>
  </si>
  <si>
    <t xml:space="preserve">05-Dec-2024</t>
  </si>
  <si>
    <t xml:space="preserve">CUST-1638</t>
  </si>
  <si>
    <t xml:space="preserve">Maria Fisher</t>
  </si>
  <si>
    <t xml:space="preserve">Tacoma</t>
  </si>
  <si>
    <t xml:space="preserve">738.9</t>
  </si>
  <si>
    <t xml:space="preserve">ORD-8781</t>
  </si>
  <si>
    <t xml:space="preserve">11/09/2025</t>
  </si>
  <si>
    <t xml:space="preserve">14-Sep-2025</t>
  </si>
  <si>
    <t xml:space="preserve">CUST-1362</t>
  </si>
  <si>
    <t xml:space="preserve">Bryan Gomez</t>
  </si>
  <si>
    <t xml:space="preserve">347.04</t>
  </si>
  <si>
    <t xml:space="preserve">ORD-6701</t>
  </si>
  <si>
    <t xml:space="preserve">2025-06-12</t>
  </si>
  <si>
    <t xml:space="preserve">06-15-2025</t>
  </si>
  <si>
    <t xml:space="preserve">CUST-1523</t>
  </si>
  <si>
    <t xml:space="preserve">Sarah King</t>
  </si>
  <si>
    <t xml:space="preserve">37.51</t>
  </si>
  <si>
    <t xml:space="preserve">ORD-5888</t>
  </si>
  <si>
    <t xml:space="preserve">14/03/2025</t>
  </si>
  <si>
    <t xml:space="preserve">2025-03-19</t>
  </si>
  <si>
    <t xml:space="preserve">CUST-2043</t>
  </si>
  <si>
    <t xml:space="preserve">Andre Watson</t>
  </si>
  <si>
    <t xml:space="preserve">1540.71</t>
  </si>
  <si>
    <t xml:space="preserve">ORD-14156</t>
  </si>
  <si>
    <t xml:space="preserve">26-Aug-2023</t>
  </si>
  <si>
    <t xml:space="preserve">30-Aug-2023</t>
  </si>
  <si>
    <t xml:space="preserve">54.63 </t>
  </si>
  <si>
    <t xml:space="preserve">ORD-3026</t>
  </si>
  <si>
    <t xml:space="preserve">11-Oct-2024</t>
  </si>
  <si>
    <t xml:space="preserve">2024-10-15</t>
  </si>
  <si>
    <t xml:space="preserve">CUST-2241</t>
  </si>
  <si>
    <t xml:space="preserve">Matthew Wells</t>
  </si>
  <si>
    <t xml:space="preserve">TUCSON</t>
  </si>
  <si>
    <t xml:space="preserve">171.18</t>
  </si>
  <si>
    <t xml:space="preserve">ORD-12051</t>
  </si>
  <si>
    <t xml:space="preserve">15/12/2023</t>
  </si>
  <si>
    <t xml:space="preserve">17/12/2023</t>
  </si>
  <si>
    <t xml:space="preserve">CUST-2027</t>
  </si>
  <si>
    <t xml:space="preserve">Steve Rivera</t>
  </si>
  <si>
    <t xml:space="preserve">3760.68</t>
  </si>
  <si>
    <t xml:space="preserve">ORD-17361</t>
  </si>
  <si>
    <t xml:space="preserve">07/12/2023</t>
  </si>
  <si>
    <t xml:space="preserve">CUST-1694</t>
  </si>
  <si>
    <t xml:space="preserve">Mary Jensen</t>
  </si>
  <si>
    <t xml:space="preserve">306.09</t>
  </si>
  <si>
    <t xml:space="preserve">ORD-3330</t>
  </si>
  <si>
    <t xml:space="preserve">09-Aug-2023</t>
  </si>
  <si>
    <t xml:space="preserve">CUST-2112</t>
  </si>
  <si>
    <t xml:space="preserve">Nathan Wilson</t>
  </si>
  <si>
    <t xml:space="preserve">1690.56</t>
  </si>
  <si>
    <t xml:space="preserve">ORD-11667</t>
  </si>
  <si>
    <t xml:space="preserve">2023-12-05</t>
  </si>
  <si>
    <t xml:space="preserve">CUST-1941</t>
  </si>
  <si>
    <t xml:space="preserve">Virginia Casey</t>
  </si>
  <si>
    <t xml:space="preserve">4079.88</t>
  </si>
  <si>
    <t xml:space="preserve">ORD-6591</t>
  </si>
  <si>
    <t xml:space="preserve">2023-12-20</t>
  </si>
  <si>
    <t xml:space="preserve">CUST-1354</t>
  </si>
  <si>
    <t xml:space="preserve">Patricia Le</t>
  </si>
  <si>
    <t xml:space="preserve">2854.62</t>
  </si>
  <si>
    <t xml:space="preserve">ORD-13312</t>
  </si>
  <si>
    <t xml:space="preserve">2024-10-20</t>
  </si>
  <si>
    <t xml:space="preserve">10-24-2024</t>
  </si>
  <si>
    <t xml:space="preserve">CUST-1226</t>
  </si>
  <si>
    <t xml:space="preserve">Kirk Carter</t>
  </si>
  <si>
    <t xml:space="preserve">phoenix</t>
  </si>
  <si>
    <t xml:space="preserve">2229.2</t>
  </si>
  <si>
    <t xml:space="preserve">ORD-13894</t>
  </si>
  <si>
    <t xml:space="preserve">2024-01-16</t>
  </si>
  <si>
    <t xml:space="preserve">01-20-2024</t>
  </si>
  <si>
    <t xml:space="preserve">7391.9</t>
  </si>
  <si>
    <t xml:space="preserve">ORD-9638</t>
  </si>
  <si>
    <t xml:space="preserve">CUST-1105</t>
  </si>
  <si>
    <t xml:space="preserve">Marc Moore</t>
  </si>
  <si>
    <t xml:space="preserve">1333.36</t>
  </si>
  <si>
    <t xml:space="preserve">ORD-16132</t>
  </si>
  <si>
    <t xml:space="preserve">10-02-2024</t>
  </si>
  <si>
    <t xml:space="preserve">2024-10-05</t>
  </si>
  <si>
    <t xml:space="preserve">CUST-2122</t>
  </si>
  <si>
    <t xml:space="preserve">John Garcia</t>
  </si>
  <si>
    <t xml:space="preserve">$4087.6</t>
  </si>
  <si>
    <t xml:space="preserve">ORD-15595</t>
  </si>
  <si>
    <t xml:space="preserve">04/04/2025</t>
  </si>
  <si>
    <t xml:space="preserve">06/04/2025</t>
  </si>
  <si>
    <t xml:space="preserve">CUST-1087</t>
  </si>
  <si>
    <t xml:space="preserve">Christopher Bass</t>
  </si>
  <si>
    <t xml:space="preserve">ANN ARBOR</t>
  </si>
  <si>
    <t xml:space="preserve">4884.77</t>
  </si>
  <si>
    <t xml:space="preserve">ORD-9654</t>
  </si>
  <si>
    <t xml:space="preserve">2024-11-27</t>
  </si>
  <si>
    <t xml:space="preserve">04/12/2024</t>
  </si>
  <si>
    <t xml:space="preserve">CUST-1489</t>
  </si>
  <si>
    <t xml:space="preserve">Lance Simmons</t>
  </si>
  <si>
    <t xml:space="preserve"> Charlotte  </t>
  </si>
  <si>
    <t xml:space="preserve">3611.58</t>
  </si>
  <si>
    <t xml:space="preserve">ORD-14836</t>
  </si>
  <si>
    <t xml:space="preserve">05/09/2023</t>
  </si>
  <si>
    <t xml:space="preserve">07/09/2023</t>
  </si>
  <si>
    <t xml:space="preserve">CUST-1331</t>
  </si>
  <si>
    <t xml:space="preserve">423.8</t>
  </si>
  <si>
    <t xml:space="preserve">ORD-12645</t>
  </si>
  <si>
    <t xml:space="preserve">04-14-2025</t>
  </si>
  <si>
    <t xml:space="preserve">CUST-1719</t>
  </si>
  <si>
    <t xml:space="preserve">Jeffrey Roberson</t>
  </si>
  <si>
    <t xml:space="preserve">105.21</t>
  </si>
  <si>
    <t xml:space="preserve">ORD-11235</t>
  </si>
  <si>
    <t xml:space="preserve">19/10/2024</t>
  </si>
  <si>
    <t xml:space="preserve">10-20-2024</t>
  </si>
  <si>
    <t xml:space="preserve">CUST-1957</t>
  </si>
  <si>
    <t xml:space="preserve">Daniel Fox</t>
  </si>
  <si>
    <t xml:space="preserve">SACRAMENTO</t>
  </si>
  <si>
    <t xml:space="preserve">$5217.85</t>
  </si>
  <si>
    <t xml:space="preserve">ORD-16444</t>
  </si>
  <si>
    <t xml:space="preserve">2025-12-08</t>
  </si>
  <si>
    <t xml:space="preserve">09-Dec-2025</t>
  </si>
  <si>
    <t xml:space="preserve">CUST-1108</t>
  </si>
  <si>
    <t xml:space="preserve">Evelyn Galvan</t>
  </si>
  <si>
    <t xml:space="preserve">114.8</t>
  </si>
  <si>
    <t xml:space="preserve">ORD-3363</t>
  </si>
  <si>
    <t xml:space="preserve">527.4</t>
  </si>
  <si>
    <t xml:space="preserve">ORD-10814</t>
  </si>
  <si>
    <t xml:space="preserve">2025-12-24</t>
  </si>
  <si>
    <t xml:space="preserve">29/12/2025</t>
  </si>
  <si>
    <t xml:space="preserve">CUST-1643</t>
  </si>
  <si>
    <t xml:space="preserve">Courtney Smith</t>
  </si>
  <si>
    <t xml:space="preserve">1100.43</t>
  </si>
  <si>
    <t xml:space="preserve">ORD-15698</t>
  </si>
  <si>
    <t xml:space="preserve">25-Aug-2024</t>
  </si>
  <si>
    <t xml:space="preserve">28/08/2024</t>
  </si>
  <si>
    <t xml:space="preserve">CUST-1520</t>
  </si>
  <si>
    <t xml:space="preserve">Amy Martinez</t>
  </si>
  <si>
    <t xml:space="preserve">2521.7</t>
  </si>
  <si>
    <t xml:space="preserve">ORD-8743</t>
  </si>
  <si>
    <t xml:space="preserve">08-24-2023</t>
  </si>
  <si>
    <t xml:space="preserve">25/08/2023</t>
  </si>
  <si>
    <t xml:space="preserve">CUST-1482</t>
  </si>
  <si>
    <t xml:space="preserve">Evelyn Martinez</t>
  </si>
  <si>
    <t xml:space="preserve">MINNEAPOLIS</t>
  </si>
  <si>
    <t xml:space="preserve">3360.21</t>
  </si>
  <si>
    <t xml:space="preserve">ORD-14881</t>
  </si>
  <si>
    <t xml:space="preserve">09-01-2024</t>
  </si>
  <si>
    <t xml:space="preserve">04/09/2024</t>
  </si>
  <si>
    <t xml:space="preserve">CUST-2320</t>
  </si>
  <si>
    <t xml:space="preserve">Diane Mcdowell</t>
  </si>
  <si>
    <t xml:space="preserve"> Jersey City  </t>
  </si>
  <si>
    <t xml:space="preserve">4348.6</t>
  </si>
  <si>
    <t xml:space="preserve">ORD-4019</t>
  </si>
  <si>
    <t xml:space="preserve">2025-03-12</t>
  </si>
  <si>
    <t xml:space="preserve">17/03/2025</t>
  </si>
  <si>
    <t xml:space="preserve"> Orlando  </t>
  </si>
  <si>
    <t xml:space="preserve">117.04</t>
  </si>
  <si>
    <t xml:space="preserve">ORD-8827</t>
  </si>
  <si>
    <t xml:space="preserve">2025-06-27</t>
  </si>
  <si>
    <t xml:space="preserve">30/06/2025</t>
  </si>
  <si>
    <t xml:space="preserve">NEW ORLEANS</t>
  </si>
  <si>
    <t xml:space="preserve">90.12</t>
  </si>
  <si>
    <t xml:space="preserve">ORD-17933</t>
  </si>
  <si>
    <t xml:space="preserve">08/05/2025</t>
  </si>
  <si>
    <t xml:space="preserve">05-12-2025</t>
  </si>
  <si>
    <t xml:space="preserve">CUST-1503</t>
  </si>
  <si>
    <t xml:space="preserve">Zachary Mitchell</t>
  </si>
  <si>
    <t xml:space="preserve">330.1</t>
  </si>
  <si>
    <t xml:space="preserve">ORD-3217</t>
  </si>
  <si>
    <t xml:space="preserve">13/05/2024</t>
  </si>
  <si>
    <t xml:space="preserve">CUST-1115</t>
  </si>
  <si>
    <t xml:space="preserve">Diana May</t>
  </si>
  <si>
    <t xml:space="preserve">1197.88</t>
  </si>
  <si>
    <t xml:space="preserve">ORD-8796</t>
  </si>
  <si>
    <t xml:space="preserve">2025-03-02</t>
  </si>
  <si>
    <t xml:space="preserve">2025-03-04</t>
  </si>
  <si>
    <t xml:space="preserve">CUST-1513</t>
  </si>
  <si>
    <t xml:space="preserve">Robert Arnold</t>
  </si>
  <si>
    <t xml:space="preserve"> Atlanta  </t>
  </si>
  <si>
    <t xml:space="preserve">8.16</t>
  </si>
  <si>
    <t xml:space="preserve">ORD-5025</t>
  </si>
  <si>
    <t xml:space="preserve">11-01-2024</t>
  </si>
  <si>
    <t xml:space="preserve">2024-11-02</t>
  </si>
  <si>
    <t xml:space="preserve">713.88</t>
  </si>
  <si>
    <t xml:space="preserve">ORD-17772</t>
  </si>
  <si>
    <t xml:space="preserve">06-09-2025</t>
  </si>
  <si>
    <t xml:space="preserve">13/06/2025</t>
  </si>
  <si>
    <t xml:space="preserve">CUST-1746</t>
  </si>
  <si>
    <t xml:space="preserve">Michael Henry</t>
  </si>
  <si>
    <t xml:space="preserve">SAN DIEGO</t>
  </si>
  <si>
    <t xml:space="preserve">139.75</t>
  </si>
  <si>
    <t xml:space="preserve">ORD-8044</t>
  </si>
  <si>
    <t xml:space="preserve">20-May-2024</t>
  </si>
  <si>
    <t xml:space="preserve">2024-05-22</t>
  </si>
  <si>
    <t xml:space="preserve">CUST-1822</t>
  </si>
  <si>
    <t xml:space="preserve">Jose Ramirez</t>
  </si>
  <si>
    <t xml:space="preserve">43.26</t>
  </si>
  <si>
    <t xml:space="preserve">ORD-6521</t>
  </si>
  <si>
    <t xml:space="preserve">04-Nov-2023</t>
  </si>
  <si>
    <t xml:space="preserve">CUST-2225</t>
  </si>
  <si>
    <t xml:space="preserve">Tiffany Jackson</t>
  </si>
  <si>
    <t xml:space="preserve">35.9</t>
  </si>
  <si>
    <t xml:space="preserve">ORD-6140</t>
  </si>
  <si>
    <t xml:space="preserve">05-21-2025</t>
  </si>
  <si>
    <t xml:space="preserve">05-24-2025</t>
  </si>
  <si>
    <t xml:space="preserve">CUST-1990</t>
  </si>
  <si>
    <t xml:space="preserve">Carmen Preston</t>
  </si>
  <si>
    <t xml:space="preserve">47.74</t>
  </si>
  <si>
    <t xml:space="preserve">ORD-10901</t>
  </si>
  <si>
    <t xml:space="preserve">11-25-2024</t>
  </si>
  <si>
    <t xml:space="preserve">CUST-2044</t>
  </si>
  <si>
    <t xml:space="preserve">Cassandra Harrell</t>
  </si>
  <si>
    <t xml:space="preserve">2772.0</t>
  </si>
  <si>
    <t xml:space="preserve">ORD-6411</t>
  </si>
  <si>
    <t xml:space="preserve">09-19-2024</t>
  </si>
  <si>
    <t xml:space="preserve">09-24-2024</t>
  </si>
  <si>
    <t xml:space="preserve">CUST-1741</t>
  </si>
  <si>
    <t xml:space="preserve">Manuel Brock</t>
  </si>
  <si>
    <t xml:space="preserve">60.93</t>
  </si>
  <si>
    <t xml:space="preserve">ORD-17575</t>
  </si>
  <si>
    <t xml:space="preserve">2024-07-10</t>
  </si>
  <si>
    <t xml:space="preserve">17/07/2024</t>
  </si>
  <si>
    <t xml:space="preserve">CUST-2105</t>
  </si>
  <si>
    <t xml:space="preserve">Amber Vang</t>
  </si>
  <si>
    <t xml:space="preserve">37.44</t>
  </si>
  <si>
    <t xml:space="preserve">ORD-16652</t>
  </si>
  <si>
    <t xml:space="preserve">2025-02-03</t>
  </si>
  <si>
    <t xml:space="preserve">2025-02-04</t>
  </si>
  <si>
    <t xml:space="preserve">CUST-1492</t>
  </si>
  <si>
    <t xml:space="preserve">William Gould</t>
  </si>
  <si>
    <t xml:space="preserve">4179.7</t>
  </si>
  <si>
    <t xml:space="preserve">ORD-15997</t>
  </si>
  <si>
    <t xml:space="preserve">montgomery</t>
  </si>
  <si>
    <t xml:space="preserve">1099.98</t>
  </si>
  <si>
    <t xml:space="preserve">ORD-7146</t>
  </si>
  <si>
    <t xml:space="preserve">05-13-2026</t>
  </si>
  <si>
    <t xml:space="preserve">05-18-2026</t>
  </si>
  <si>
    <t xml:space="preserve">CUST-1956</t>
  </si>
  <si>
    <t xml:space="preserve">Eric Henry Jr.</t>
  </si>
  <si>
    <t xml:space="preserve">DETROIT</t>
  </si>
  <si>
    <t xml:space="preserve">177.12</t>
  </si>
  <si>
    <t xml:space="preserve">ORD-17700</t>
  </si>
  <si>
    <t xml:space="preserve">01-Mar-2024</t>
  </si>
  <si>
    <t xml:space="preserve">06/03/2024</t>
  </si>
  <si>
    <t xml:space="preserve">CUST-1897</t>
  </si>
  <si>
    <t xml:space="preserve">Elizabeth Dean</t>
  </si>
  <si>
    <t xml:space="preserve">303.72</t>
  </si>
  <si>
    <t xml:space="preserve">ORD-3718</t>
  </si>
  <si>
    <t xml:space="preserve">07-01-2026</t>
  </si>
  <si>
    <t xml:space="preserve">2026-07-05</t>
  </si>
  <si>
    <t xml:space="preserve">CUST-2040</t>
  </si>
  <si>
    <t xml:space="preserve">Danielle Bryant</t>
  </si>
  <si>
    <t xml:space="preserve">2830.86</t>
  </si>
  <si>
    <t xml:space="preserve">ORD-13399</t>
  </si>
  <si>
    <t xml:space="preserve">14-Jun-2025</t>
  </si>
  <si>
    <t xml:space="preserve">CUST-2204</t>
  </si>
  <si>
    <t xml:space="preserve">Michael Lopez</t>
  </si>
  <si>
    <t xml:space="preserve">2815.36</t>
  </si>
  <si>
    <t xml:space="preserve">ORD-4217</t>
  </si>
  <si>
    <t xml:space="preserve">05-03-2024</t>
  </si>
  <si>
    <t xml:space="preserve">2024-05-06</t>
  </si>
  <si>
    <t xml:space="preserve">439.38</t>
  </si>
  <si>
    <t xml:space="preserve">ORD-10926</t>
  </si>
  <si>
    <t xml:space="preserve">30-Jan-2024</t>
  </si>
  <si>
    <t xml:space="preserve">01/02/2024</t>
  </si>
  <si>
    <t xml:space="preserve">CUST-1804</t>
  </si>
  <si>
    <t xml:space="preserve">Kimberly Fritz</t>
  </si>
  <si>
    <t xml:space="preserve">10337.9</t>
  </si>
  <si>
    <t xml:space="preserve">ORD-14100</t>
  </si>
  <si>
    <t xml:space="preserve">2025-03-05</t>
  </si>
  <si>
    <t xml:space="preserve">2025-03-10</t>
  </si>
  <si>
    <t xml:space="preserve">CUST-1338</t>
  </si>
  <si>
    <t xml:space="preserve">Scott Thomas</t>
  </si>
  <si>
    <t xml:space="preserve">367.5</t>
  </si>
  <si>
    <t xml:space="preserve">ORD-11794</t>
  </si>
  <si>
    <t xml:space="preserve">16-Jul-2025</t>
  </si>
  <si>
    <t xml:space="preserve">20/07/2025</t>
  </si>
  <si>
    <t xml:space="preserve">CUST-1019</t>
  </si>
  <si>
    <t xml:space="preserve">Carla Gray</t>
  </si>
  <si>
    <t xml:space="preserve">2946.7</t>
  </si>
  <si>
    <t xml:space="preserve">ORD-4214</t>
  </si>
  <si>
    <t xml:space="preserve">16/06/2025</t>
  </si>
  <si>
    <t xml:space="preserve">06-18-2025</t>
  </si>
  <si>
    <t xml:space="preserve">CUST-1529</t>
  </si>
  <si>
    <t xml:space="preserve">Angel May</t>
  </si>
  <si>
    <t xml:space="preserve">6346.97 </t>
  </si>
  <si>
    <t xml:space="preserve">ORD-4436</t>
  </si>
  <si>
    <t xml:space="preserve">29-Sep-2025</t>
  </si>
  <si>
    <t xml:space="preserve">2025-10-03</t>
  </si>
  <si>
    <t xml:space="preserve">CUST-1498</t>
  </si>
  <si>
    <t xml:space="preserve">Meghan Rush</t>
  </si>
  <si>
    <t xml:space="preserve">BATON ROUGE</t>
  </si>
  <si>
    <t xml:space="preserve">1424.22</t>
  </si>
  <si>
    <t xml:space="preserve">ORD-3447</t>
  </si>
  <si>
    <t xml:space="preserve">12-17-2023</t>
  </si>
  <si>
    <t xml:space="preserve">12-20-2023</t>
  </si>
  <si>
    <t xml:space="preserve">2585.75</t>
  </si>
  <si>
    <t xml:space="preserve">ORD-9319</t>
  </si>
  <si>
    <t xml:space="preserve">06-21-2026</t>
  </si>
  <si>
    <t xml:space="preserve">CUST-2167</t>
  </si>
  <si>
    <t xml:space="preserve">Michelle Rodriguez</t>
  </si>
  <si>
    <t xml:space="preserve">80.52</t>
  </si>
  <si>
    <t xml:space="preserve">ORD-13799</t>
  </si>
  <si>
    <t xml:space="preserve">23/06/2026</t>
  </si>
  <si>
    <t xml:space="preserve">06-28-2026</t>
  </si>
  <si>
    <t xml:space="preserve">CUST-1192</t>
  </si>
  <si>
    <t xml:space="preserve">Debra Christian</t>
  </si>
  <si>
    <t xml:space="preserve">695.38</t>
  </si>
  <si>
    <t xml:space="preserve">ORD-3556</t>
  </si>
  <si>
    <t xml:space="preserve">21/12/2024</t>
  </si>
  <si>
    <t xml:space="preserve">167.88</t>
  </si>
  <si>
    <t xml:space="preserve">ORD-13867</t>
  </si>
  <si>
    <t xml:space="preserve">27/09/2024</t>
  </si>
  <si>
    <t xml:space="preserve">09-29-2024</t>
  </si>
  <si>
    <t xml:space="preserve">CUST-1450</t>
  </si>
  <si>
    <t xml:space="preserve">Brittany Kim</t>
  </si>
  <si>
    <t xml:space="preserve">5382.64</t>
  </si>
  <si>
    <t xml:space="preserve">ORD-7626</t>
  </si>
  <si>
    <t xml:space="preserve">04/06/2026</t>
  </si>
  <si>
    <t xml:space="preserve">2026-06-06</t>
  </si>
  <si>
    <t xml:space="preserve">CUST-1564</t>
  </si>
  <si>
    <t xml:space="preserve">Molly Watts</t>
  </si>
  <si>
    <t xml:space="preserve">3209.85</t>
  </si>
  <si>
    <t xml:space="preserve">ORD-16141</t>
  </si>
  <si>
    <t xml:space="preserve">12/07/2024</t>
  </si>
  <si>
    <t xml:space="preserve">14/07/2024</t>
  </si>
  <si>
    <t xml:space="preserve">CUST-1645</t>
  </si>
  <si>
    <t xml:space="preserve">Kim Morrow</t>
  </si>
  <si>
    <t xml:space="preserve">140.32</t>
  </si>
  <si>
    <t xml:space="preserve">ORD-12544</t>
  </si>
  <si>
    <t xml:space="preserve">09-26-2023</t>
  </si>
  <si>
    <t xml:space="preserve">01/10/2023</t>
  </si>
  <si>
    <t xml:space="preserve">CUST-1799</t>
  </si>
  <si>
    <t xml:space="preserve">Donald Medina</t>
  </si>
  <si>
    <t xml:space="preserve">8.82</t>
  </si>
  <si>
    <t xml:space="preserve"> Cash on Delivery </t>
  </si>
  <si>
    <t xml:space="preserve">ORD-13194</t>
  </si>
  <si>
    <t xml:space="preserve">2025-01-07</t>
  </si>
  <si>
    <t xml:space="preserve">CUST-1765</t>
  </si>
  <si>
    <t xml:space="preserve">Laura Griffin</t>
  </si>
  <si>
    <t xml:space="preserve">655.83</t>
  </si>
  <si>
    <t xml:space="preserve">ORD-10420</t>
  </si>
  <si>
    <t xml:space="preserve">2024-06-27</t>
  </si>
  <si>
    <t xml:space="preserve">2024-06-28</t>
  </si>
  <si>
    <t xml:space="preserve">SPOKANE</t>
  </si>
  <si>
    <t xml:space="preserve">72.08</t>
  </si>
  <si>
    <t xml:space="preserve">ORD-6691</t>
  </si>
  <si>
    <t xml:space="preserve">2024-04-18</t>
  </si>
  <si>
    <t xml:space="preserve">04-22-2024</t>
  </si>
  <si>
    <t xml:space="preserve">CUST-1535</t>
  </si>
  <si>
    <t xml:space="preserve">Mr. Lawrence Edwards</t>
  </si>
  <si>
    <t xml:space="preserve">4817.78 </t>
  </si>
  <si>
    <t xml:space="preserve">ORD-6079</t>
  </si>
  <si>
    <t xml:space="preserve">29-Oct-2023</t>
  </si>
  <si>
    <t xml:space="preserve">30-Oct-2023</t>
  </si>
  <si>
    <t xml:space="preserve">CUST-1835</t>
  </si>
  <si>
    <t xml:space="preserve">Timothy Hill</t>
  </si>
  <si>
    <t xml:space="preserve">Seattle</t>
  </si>
  <si>
    <t xml:space="preserve">340.71</t>
  </si>
  <si>
    <t xml:space="preserve">ORD-3604</t>
  </si>
  <si>
    <t xml:space="preserve">05-30-2024</t>
  </si>
  <si>
    <t xml:space="preserve">06-01-2024</t>
  </si>
  <si>
    <t xml:space="preserve">CUST-1739</t>
  </si>
  <si>
    <t xml:space="preserve">Linda Gonzalez</t>
  </si>
  <si>
    <t xml:space="preserve">4457.97</t>
  </si>
  <si>
    <t xml:space="preserve">ORD-17313</t>
  </si>
  <si>
    <t xml:space="preserve">31-Jul-2024</t>
  </si>
  <si>
    <t xml:space="preserve">04-Aug-2024</t>
  </si>
  <si>
    <t xml:space="preserve">CUST-1261</t>
  </si>
  <si>
    <t xml:space="preserve">Desiree Tyler</t>
  </si>
  <si>
    <t xml:space="preserve">402.15</t>
  </si>
  <si>
    <t xml:space="preserve">ORD-5238</t>
  </si>
  <si>
    <t xml:space="preserve">14-Feb-2026</t>
  </si>
  <si>
    <t xml:space="preserve">19/02/2026</t>
  </si>
  <si>
    <t xml:space="preserve">CUST-2246</t>
  </si>
  <si>
    <t xml:space="preserve">Kristen Peters</t>
  </si>
  <si>
    <t xml:space="preserve">1867.44</t>
  </si>
  <si>
    <t xml:space="preserve">ORD-18122</t>
  </si>
  <si>
    <t xml:space="preserve">2026-05-04</t>
  </si>
  <si>
    <t xml:space="preserve">09-May-2026</t>
  </si>
  <si>
    <t xml:space="preserve">CUST-1712</t>
  </si>
  <si>
    <t xml:space="preserve">Timothy Edwards</t>
  </si>
  <si>
    <t xml:space="preserve">3888.0</t>
  </si>
  <si>
    <t xml:space="preserve">ORD-13773</t>
  </si>
  <si>
    <t xml:space="preserve">16-Dec-2025</t>
  </si>
  <si>
    <t xml:space="preserve">20-Dec-2025</t>
  </si>
  <si>
    <t xml:space="preserve">CUST-2008</t>
  </si>
  <si>
    <t xml:space="preserve">Karen Keith</t>
  </si>
  <si>
    <t xml:space="preserve">455.76</t>
  </si>
  <si>
    <t xml:space="preserve">ORD-7380</t>
  </si>
  <si>
    <t xml:space="preserve">11-18-2024</t>
  </si>
  <si>
    <t xml:space="preserve">11-21-2024</t>
  </si>
  <si>
    <t xml:space="preserve">CUST-2118</t>
  </si>
  <si>
    <t xml:space="preserve">Susan Conley</t>
  </si>
  <si>
    <t xml:space="preserve">1006.08</t>
  </si>
  <si>
    <t xml:space="preserve">ORD-14930</t>
  </si>
  <si>
    <t xml:space="preserve">23/10/2024</t>
  </si>
  <si>
    <t xml:space="preserve">24-Oct-2024</t>
  </si>
  <si>
    <t xml:space="preserve">CUST-2146</t>
  </si>
  <si>
    <t xml:space="preserve">Mason Moore</t>
  </si>
  <si>
    <t xml:space="preserve">361.35</t>
  </si>
  <si>
    <t xml:space="preserve">ORD-13102</t>
  </si>
  <si>
    <t xml:space="preserve">22-Jun-2025</t>
  </si>
  <si>
    <t xml:space="preserve">CUST-1358</t>
  </si>
  <si>
    <t xml:space="preserve">Christian Leblanc</t>
  </si>
  <si>
    <t xml:space="preserve">2407.36</t>
  </si>
  <si>
    <t xml:space="preserve">ORD-7885</t>
  </si>
  <si>
    <t xml:space="preserve">07-03-2024</t>
  </si>
  <si>
    <t xml:space="preserve">CUST-1470</t>
  </si>
  <si>
    <t xml:space="preserve">Veronica King</t>
  </si>
  <si>
    <t xml:space="preserve">10.02</t>
  </si>
  <si>
    <t xml:space="preserve">ORD-9836</t>
  </si>
  <si>
    <t xml:space="preserve">10/10/2023</t>
  </si>
  <si>
    <t xml:space="preserve">CUST-2056</t>
  </si>
  <si>
    <t xml:space="preserve">Michael Holloway</t>
  </si>
  <si>
    <t xml:space="preserve"> Springfield  </t>
  </si>
  <si>
    <t xml:space="preserve">2116.48</t>
  </si>
  <si>
    <t xml:space="preserve">ORD-8336</t>
  </si>
  <si>
    <t xml:space="preserve">04-Apr-2026</t>
  </si>
  <si>
    <t xml:space="preserve">06/04/2026</t>
  </si>
  <si>
    <t xml:space="preserve">CUST-1921</t>
  </si>
  <si>
    <t xml:space="preserve">David Kelly</t>
  </si>
  <si>
    <t xml:space="preserve">16.33</t>
  </si>
  <si>
    <t xml:space="preserve">ORD-3583</t>
  </si>
  <si>
    <t xml:space="preserve">09-28-2025</t>
  </si>
  <si>
    <t xml:space="preserve">09-29-2025</t>
  </si>
  <si>
    <t xml:space="preserve">CUST-1690</t>
  </si>
  <si>
    <t xml:space="preserve">Ryan Landry</t>
  </si>
  <si>
    <t xml:space="preserve">479.6</t>
  </si>
  <si>
    <t xml:space="preserve">ORD-12476</t>
  </si>
  <si>
    <t xml:space="preserve">14/09/2023</t>
  </si>
  <si>
    <t xml:space="preserve">CUST-1725</t>
  </si>
  <si>
    <t xml:space="preserve">Rebecca Marquez</t>
  </si>
  <si>
    <t xml:space="preserve">176.35</t>
  </si>
  <si>
    <t xml:space="preserve">ORD-15936</t>
  </si>
  <si>
    <t xml:space="preserve">08-30-2024</t>
  </si>
  <si>
    <t xml:space="preserve">03/09/2024</t>
  </si>
  <si>
    <t xml:space="preserve">CUST-1935</t>
  </si>
  <si>
    <t xml:space="preserve">Cody Ramirez</t>
  </si>
  <si>
    <t xml:space="preserve">2156.52</t>
  </si>
  <si>
    <t xml:space="preserve">ORD-6304</t>
  </si>
  <si>
    <t xml:space="preserve">23-Oct-2025</t>
  </si>
  <si>
    <t xml:space="preserve">2025-10-26</t>
  </si>
  <si>
    <t xml:space="preserve">CUST-1951</t>
  </si>
  <si>
    <t xml:space="preserve">Sarah Thompson</t>
  </si>
  <si>
    <t xml:space="preserve">$1669.7</t>
  </si>
  <si>
    <t xml:space="preserve">ORD-11984</t>
  </si>
  <si>
    <t xml:space="preserve">31/10/2023</t>
  </si>
  <si>
    <t xml:space="preserve">07-Nov-2023</t>
  </si>
  <si>
    <t xml:space="preserve">CUST-1102</t>
  </si>
  <si>
    <t xml:space="preserve">Rebecca Valencia</t>
  </si>
  <si>
    <t xml:space="preserve">6592.6</t>
  </si>
  <si>
    <t xml:space="preserve">ORD-15600</t>
  </si>
  <si>
    <t xml:space="preserve">29/05/2026</t>
  </si>
  <si>
    <t xml:space="preserve">02-Jun-2026</t>
  </si>
  <si>
    <t xml:space="preserve">CUST-1905</t>
  </si>
  <si>
    <t xml:space="preserve">Johnathan Brown</t>
  </si>
  <si>
    <t xml:space="preserve">$780.65</t>
  </si>
  <si>
    <t xml:space="preserve">ORD-16461</t>
  </si>
  <si>
    <t xml:space="preserve">07-05-2024</t>
  </si>
  <si>
    <t xml:space="preserve">CUST-1272</t>
  </si>
  <si>
    <t xml:space="preserve">Jonathan Lawrence</t>
  </si>
  <si>
    <t xml:space="preserve">2420.5</t>
  </si>
  <si>
    <t xml:space="preserve">ORD-14385</t>
  </si>
  <si>
    <t xml:space="preserve">17/05/2026</t>
  </si>
  <si>
    <t xml:space="preserve">CUST-1280</t>
  </si>
  <si>
    <t xml:space="preserve">Amanda Jones</t>
  </si>
  <si>
    <t xml:space="preserve">1037.61</t>
  </si>
  <si>
    <t xml:space="preserve">ORD-9209</t>
  </si>
  <si>
    <t xml:space="preserve">26-Aug-2025</t>
  </si>
  <si>
    <t xml:space="preserve">27/08/2025</t>
  </si>
  <si>
    <t xml:space="preserve">CUST-1117</t>
  </si>
  <si>
    <t xml:space="preserve">Ashley Waller</t>
  </si>
  <si>
    <t xml:space="preserve">1351.8</t>
  </si>
  <si>
    <t xml:space="preserve">ORD-7764</t>
  </si>
  <si>
    <t xml:space="preserve">24/02/2026</t>
  </si>
  <si>
    <t xml:space="preserve">2026-03-03</t>
  </si>
  <si>
    <t xml:space="preserve">CUST-1593</t>
  </si>
  <si>
    <t xml:space="preserve">Randy Smith</t>
  </si>
  <si>
    <t xml:space="preserve">San Diego</t>
  </si>
  <si>
    <t xml:space="preserve">37.2</t>
  </si>
  <si>
    <t xml:space="preserve">ORD-6367</t>
  </si>
  <si>
    <t xml:space="preserve">2023-11-14</t>
  </si>
  <si>
    <t xml:space="preserve">11-15-2023</t>
  </si>
  <si>
    <t xml:space="preserve">337.83</t>
  </si>
  <si>
    <t xml:space="preserve">ORD-11789</t>
  </si>
  <si>
    <t xml:space="preserve">2025-10-19</t>
  </si>
  <si>
    <t xml:space="preserve">20/10/2025</t>
  </si>
  <si>
    <t xml:space="preserve">CUST-1766</t>
  </si>
  <si>
    <t xml:space="preserve">Raymond Chapman</t>
  </si>
  <si>
    <t xml:space="preserve">764.8</t>
  </si>
  <si>
    <t xml:space="preserve">ORD-5601</t>
  </si>
  <si>
    <t xml:space="preserve">26/05/2026</t>
  </si>
  <si>
    <t xml:space="preserve">CUST-1780</t>
  </si>
  <si>
    <t xml:space="preserve">Christine Goodwin</t>
  </si>
  <si>
    <t xml:space="preserve">2043.68</t>
  </si>
  <si>
    <t xml:space="preserve">ORD-11488</t>
  </si>
  <si>
    <t xml:space="preserve">2025-05-25</t>
  </si>
  <si>
    <t xml:space="preserve">2025-05-26</t>
  </si>
  <si>
    <t xml:space="preserve">CUST-1290</t>
  </si>
  <si>
    <t xml:space="preserve">947.4</t>
  </si>
  <si>
    <t xml:space="preserve">ORD-6807</t>
  </si>
  <si>
    <t xml:space="preserve">21-Feb-2024</t>
  </si>
  <si>
    <t xml:space="preserve">CUST-1243</t>
  </si>
  <si>
    <t xml:space="preserve">Brandon Bailey MD</t>
  </si>
  <si>
    <t xml:space="preserve">65.1</t>
  </si>
  <si>
    <t xml:space="preserve">ORD-15941</t>
  </si>
  <si>
    <t xml:space="preserve">2025-12-12</t>
  </si>
  <si>
    <t xml:space="preserve">19-Dec-2025</t>
  </si>
  <si>
    <t xml:space="preserve">Buffalo</t>
  </si>
  <si>
    <t xml:space="preserve">2926.2</t>
  </si>
  <si>
    <t xml:space="preserve">ORD-10439</t>
  </si>
  <si>
    <t xml:space="preserve">10-16-2023</t>
  </si>
  <si>
    <t xml:space="preserve">2023-10-18</t>
  </si>
  <si>
    <t xml:space="preserve"> New Orleans  </t>
  </si>
  <si>
    <t xml:space="preserve">123.96</t>
  </si>
  <si>
    <t xml:space="preserve">ORD-3788</t>
  </si>
  <si>
    <t xml:space="preserve">05-18-2024</t>
  </si>
  <si>
    <t xml:space="preserve">05-23-2024</t>
  </si>
  <si>
    <t xml:space="preserve">CUST-1440</t>
  </si>
  <si>
    <t xml:space="preserve">Jeremy Mitchell</t>
  </si>
  <si>
    <t xml:space="preserve"> Louisville  </t>
  </si>
  <si>
    <t xml:space="preserve">613.13</t>
  </si>
  <si>
    <t xml:space="preserve">ORD-12187</t>
  </si>
  <si>
    <t xml:space="preserve">27-Mar-2025</t>
  </si>
  <si>
    <t xml:space="preserve">2025-04-03</t>
  </si>
  <si>
    <t xml:space="preserve">CUST-2243</t>
  </si>
  <si>
    <t xml:space="preserve">Kimberly Choi</t>
  </si>
  <si>
    <t xml:space="preserve">2882.52</t>
  </si>
  <si>
    <t xml:space="preserve">ORD-9573</t>
  </si>
  <si>
    <t xml:space="preserve">12-07-2024</t>
  </si>
  <si>
    <t xml:space="preserve">CUST-1922</t>
  </si>
  <si>
    <t xml:space="preserve">Megan Green</t>
  </si>
  <si>
    <t xml:space="preserve">new orleans</t>
  </si>
  <si>
    <t xml:space="preserve">776.6</t>
  </si>
  <si>
    <t xml:space="preserve">ORD-7400</t>
  </si>
  <si>
    <t xml:space="preserve">2024-01-13</t>
  </si>
  <si>
    <t xml:space="preserve">18/01/2024</t>
  </si>
  <si>
    <t xml:space="preserve">CUST-1147</t>
  </si>
  <si>
    <t xml:space="preserve">Stephanie Salazar</t>
  </si>
  <si>
    <t xml:space="preserve">120.0</t>
  </si>
  <si>
    <t xml:space="preserve">ORD-8589</t>
  </si>
  <si>
    <t xml:space="preserve">2024-05-15</t>
  </si>
  <si>
    <t xml:space="preserve">CUST-1190</t>
  </si>
  <si>
    <t xml:space="preserve">Debra Morton</t>
  </si>
  <si>
    <t xml:space="preserve">169.92</t>
  </si>
  <si>
    <t xml:space="preserve">ORD-11011</t>
  </si>
  <si>
    <t xml:space="preserve">11-Aug-2024</t>
  </si>
  <si>
    <t xml:space="preserve">2024-08-16</t>
  </si>
  <si>
    <t xml:space="preserve">CUST-2074</t>
  </si>
  <si>
    <t xml:space="preserve">Catherine Frazier</t>
  </si>
  <si>
    <t xml:space="preserve">4324.08</t>
  </si>
  <si>
    <t xml:space="preserve">ORD-6646</t>
  </si>
  <si>
    <t xml:space="preserve">02/01/2025</t>
  </si>
  <si>
    <t xml:space="preserve">01-07-2025</t>
  </si>
  <si>
    <t xml:space="preserve">CUST-2258</t>
  </si>
  <si>
    <t xml:space="preserve">Jerry Jensen</t>
  </si>
  <si>
    <t xml:space="preserve">199.74</t>
  </si>
  <si>
    <t xml:space="preserve">ORD-17383</t>
  </si>
  <si>
    <t xml:space="preserve">10-May-2026</t>
  </si>
  <si>
    <t xml:space="preserve">11-May-2026</t>
  </si>
  <si>
    <t xml:space="preserve">CUST-1381</t>
  </si>
  <si>
    <t xml:space="preserve">Paul Wilson</t>
  </si>
  <si>
    <t xml:space="preserve">$111.35</t>
  </si>
  <si>
    <t xml:space="preserve">ORD-10033</t>
  </si>
  <si>
    <t xml:space="preserve">28/11/2023</t>
  </si>
  <si>
    <t xml:space="preserve">02-Dec-2023</t>
  </si>
  <si>
    <t xml:space="preserve">CUST-1859</t>
  </si>
  <si>
    <t xml:space="preserve">Brian Porter MD</t>
  </si>
  <si>
    <t xml:space="preserve">127.9</t>
  </si>
  <si>
    <t xml:space="preserve">ORD-7500</t>
  </si>
  <si>
    <t xml:space="preserve">2023-09-01</t>
  </si>
  <si>
    <t xml:space="preserve">09-03-2023</t>
  </si>
  <si>
    <t xml:space="preserve">CUST-2364</t>
  </si>
  <si>
    <t xml:space="preserve">Karen Gomez</t>
  </si>
  <si>
    <t xml:space="preserve">464.24</t>
  </si>
  <si>
    <t xml:space="preserve">ORD-9778</t>
  </si>
  <si>
    <t xml:space="preserve">18/08/2024</t>
  </si>
  <si>
    <t xml:space="preserve">2024-08-25</t>
  </si>
  <si>
    <t xml:space="preserve">CUST-1884</t>
  </si>
  <si>
    <t xml:space="preserve">Holly Scott</t>
  </si>
  <si>
    <t xml:space="preserve">2394.06</t>
  </si>
  <si>
    <t xml:space="preserve">ORD-4546</t>
  </si>
  <si>
    <t xml:space="preserve">2025-06-02</t>
  </si>
  <si>
    <t xml:space="preserve">09-Jun-2025</t>
  </si>
  <si>
    <t xml:space="preserve">1270.56</t>
  </si>
  <si>
    <t xml:space="preserve">ORD-5460</t>
  </si>
  <si>
    <t xml:space="preserve">2025-05-12</t>
  </si>
  <si>
    <t xml:space="preserve">CUST-1773</t>
  </si>
  <si>
    <t xml:space="preserve">Samuel Wong</t>
  </si>
  <si>
    <t xml:space="preserve">8601.12</t>
  </si>
  <si>
    <t xml:space="preserve">ORD-4314</t>
  </si>
  <si>
    <t xml:space="preserve">2025-11-01</t>
  </si>
  <si>
    <t xml:space="preserve">CUST-1249</t>
  </si>
  <si>
    <t xml:space="preserve">Kimberly Gutierrez</t>
  </si>
  <si>
    <t xml:space="preserve">61.68</t>
  </si>
  <si>
    <t xml:space="preserve">ORD-5178</t>
  </si>
  <si>
    <t xml:space="preserve">05-May-2025</t>
  </si>
  <si>
    <t xml:space="preserve">2025-05-07</t>
  </si>
  <si>
    <t xml:space="preserve">CUST-1815</t>
  </si>
  <si>
    <t xml:space="preserve">Anna Estes</t>
  </si>
  <si>
    <t xml:space="preserve">113.49</t>
  </si>
  <si>
    <t xml:space="preserve">ORD-13730</t>
  </si>
  <si>
    <t xml:space="preserve">10-Jul-2026</t>
  </si>
  <si>
    <t xml:space="preserve">07-11-2026</t>
  </si>
  <si>
    <t xml:space="preserve">CUST-1173</t>
  </si>
  <si>
    <t xml:space="preserve">Matthew Harrington</t>
  </si>
  <si>
    <t xml:space="preserve">7878.6</t>
  </si>
  <si>
    <t xml:space="preserve">ORD-12334</t>
  </si>
  <si>
    <t xml:space="preserve">2025-08-18</t>
  </si>
  <si>
    <t xml:space="preserve">20-Aug-2025</t>
  </si>
  <si>
    <t xml:space="preserve">CUST-1805</t>
  </si>
  <si>
    <t xml:space="preserve">Ronald Potter</t>
  </si>
  <si>
    <t xml:space="preserve">1566.8</t>
  </si>
  <si>
    <t xml:space="preserve">ORD-9675</t>
  </si>
  <si>
    <t xml:space="preserve">2026-04-21</t>
  </si>
  <si>
    <t xml:space="preserve">CUST-1111</t>
  </si>
  <si>
    <t xml:space="preserve">Shannon Walker</t>
  </si>
  <si>
    <t xml:space="preserve">346.2</t>
  </si>
  <si>
    <t xml:space="preserve">ORD-11595</t>
  </si>
  <si>
    <t xml:space="preserve">08-Jun-2025</t>
  </si>
  <si>
    <t xml:space="preserve">CUST-1269</t>
  </si>
  <si>
    <t xml:space="preserve">Patrick Thornton</t>
  </si>
  <si>
    <t xml:space="preserve">176.72</t>
  </si>
  <si>
    <t xml:space="preserve">ORD-4924</t>
  </si>
  <si>
    <t xml:space="preserve">2024-07-29</t>
  </si>
  <si>
    <t xml:space="preserve">1708.3</t>
  </si>
  <si>
    <t xml:space="preserve">ORD-4456</t>
  </si>
  <si>
    <t xml:space="preserve">2025-03-20</t>
  </si>
  <si>
    <t xml:space="preserve">CUST-1305</t>
  </si>
  <si>
    <t xml:space="preserve">Kevin Oconnor</t>
  </si>
  <si>
    <t xml:space="preserve">3761.73</t>
  </si>
  <si>
    <t xml:space="preserve">ORD-3242</t>
  </si>
  <si>
    <t xml:space="preserve">03/07/2024</t>
  </si>
  <si>
    <t xml:space="preserve">05/07/2024</t>
  </si>
  <si>
    <t xml:space="preserve">CUST-1116</t>
  </si>
  <si>
    <t xml:space="preserve">William Herrera</t>
  </si>
  <si>
    <t xml:space="preserve">4900.2</t>
  </si>
  <si>
    <t xml:space="preserve">ORD-3505</t>
  </si>
  <si>
    <t xml:space="preserve">2025-05-17</t>
  </si>
  <si>
    <t xml:space="preserve">2025-05-20</t>
  </si>
  <si>
    <t xml:space="preserve">CUST-1642</t>
  </si>
  <si>
    <t xml:space="preserve">Joshua Rice</t>
  </si>
  <si>
    <t xml:space="preserve"> Philadelphia  </t>
  </si>
  <si>
    <t xml:space="preserve">3388.8</t>
  </si>
  <si>
    <t xml:space="preserve">ORD-14150</t>
  </si>
  <si>
    <t xml:space="preserve">27-Dec-2024</t>
  </si>
  <si>
    <t xml:space="preserve">CUST-2188</t>
  </si>
  <si>
    <t xml:space="preserve">Kelly Johnson</t>
  </si>
  <si>
    <t xml:space="preserve">377.7</t>
  </si>
  <si>
    <t xml:space="preserve">ORD-8972</t>
  </si>
  <si>
    <t xml:space="preserve">2024-09-05</t>
  </si>
  <si>
    <t xml:space="preserve">2024-09-12</t>
  </si>
  <si>
    <t xml:space="preserve">CUST-2003</t>
  </si>
  <si>
    <t xml:space="preserve">Derrick Brown</t>
  </si>
  <si>
    <t xml:space="preserve">181.23</t>
  </si>
  <si>
    <t xml:space="preserve">ORD-12382</t>
  </si>
  <si>
    <t xml:space="preserve">2026-05-13</t>
  </si>
  <si>
    <t xml:space="preserve">05-20-2026</t>
  </si>
  <si>
    <t xml:space="preserve">CUST-1750</t>
  </si>
  <si>
    <t xml:space="preserve">Krista Benton</t>
  </si>
  <si>
    <t xml:space="preserve">226.17</t>
  </si>
  <si>
    <t xml:space="preserve">ORD-10540</t>
  </si>
  <si>
    <t xml:space="preserve">2024-01-31</t>
  </si>
  <si>
    <t xml:space="preserve">02-04-2024</t>
  </si>
  <si>
    <t xml:space="preserve">1180.08</t>
  </si>
  <si>
    <t xml:space="preserve">ORD-16428</t>
  </si>
  <si>
    <t xml:space="preserve">2024-03-12</t>
  </si>
  <si>
    <t xml:space="preserve">19/03/2024</t>
  </si>
  <si>
    <t xml:space="preserve">CUST-1288</t>
  </si>
  <si>
    <t xml:space="preserve">Lisa Allen</t>
  </si>
  <si>
    <t xml:space="preserve">272.69</t>
  </si>
  <si>
    <t xml:space="preserve">ORD-13574</t>
  </si>
  <si>
    <t xml:space="preserve">19-Jan-2026</t>
  </si>
  <si>
    <t xml:space="preserve">21-Jan-2026</t>
  </si>
  <si>
    <t xml:space="preserve">CUST-2028</t>
  </si>
  <si>
    <t xml:space="preserve">Patrick Mccall</t>
  </si>
  <si>
    <t xml:space="preserve">599.46</t>
  </si>
  <si>
    <t xml:space="preserve">ORD-4535</t>
  </si>
  <si>
    <t xml:space="preserve">28/11/2024</t>
  </si>
  <si>
    <t xml:space="preserve">01/12/2024</t>
  </si>
  <si>
    <t xml:space="preserve">CUST-1986</t>
  </si>
  <si>
    <t xml:space="preserve">Angela Jackson</t>
  </si>
  <si>
    <t xml:space="preserve">1243.56</t>
  </si>
  <si>
    <t xml:space="preserve">ORD-13729</t>
  </si>
  <si>
    <t xml:space="preserve">22/03/2025</t>
  </si>
  <si>
    <t xml:space="preserve">03-29-2025</t>
  </si>
  <si>
    <t xml:space="preserve">CUST-1007</t>
  </si>
  <si>
    <t xml:space="preserve">Gina Moore</t>
  </si>
  <si>
    <t xml:space="preserve">2790.5</t>
  </si>
  <si>
    <t xml:space="preserve">ORD-13136</t>
  </si>
  <si>
    <t xml:space="preserve">CUST-1181</t>
  </si>
  <si>
    <t xml:space="preserve">Tina Sanders</t>
  </si>
  <si>
    <t xml:space="preserve">109.29</t>
  </si>
  <si>
    <t xml:space="preserve">ORD-16571</t>
  </si>
  <si>
    <t xml:space="preserve">06-27-2025</t>
  </si>
  <si>
    <t xml:space="preserve">06-30-2025</t>
  </si>
  <si>
    <t xml:space="preserve">CUST-1677</t>
  </si>
  <si>
    <t xml:space="preserve">Joseph Howard</t>
  </si>
  <si>
    <t xml:space="preserve">2606.64</t>
  </si>
  <si>
    <t xml:space="preserve">ORD-11300</t>
  </si>
  <si>
    <t xml:space="preserve">30-Mar-2026</t>
  </si>
  <si>
    <t xml:space="preserve">04-06-2026</t>
  </si>
  <si>
    <t xml:space="preserve">CUST-1902</t>
  </si>
  <si>
    <t xml:space="preserve">Sherry Tapia</t>
  </si>
  <si>
    <t xml:space="preserve">1020.3</t>
  </si>
  <si>
    <t xml:space="preserve">ORD-18102</t>
  </si>
  <si>
    <t xml:space="preserve">30-Sep-2024</t>
  </si>
  <si>
    <t xml:space="preserve">2024-10-07</t>
  </si>
  <si>
    <t xml:space="preserve">CUST-2266</t>
  </si>
  <si>
    <t xml:space="preserve">Shannon Taylor</t>
  </si>
  <si>
    <t xml:space="preserve">Portland</t>
  </si>
  <si>
    <t xml:space="preserve">1405.53</t>
  </si>
  <si>
    <t xml:space="preserve">ORD-5730</t>
  </si>
  <si>
    <t xml:space="preserve">14/04/2025</t>
  </si>
  <si>
    <t xml:space="preserve">21/04/2025</t>
  </si>
  <si>
    <t xml:space="preserve">CUST-2312</t>
  </si>
  <si>
    <t xml:space="preserve">3812.25</t>
  </si>
  <si>
    <t xml:space="preserve">ORD-11105</t>
  </si>
  <si>
    <t xml:space="preserve">05-15-2024</t>
  </si>
  <si>
    <t xml:space="preserve">2024-05-17</t>
  </si>
  <si>
    <t xml:space="preserve">CUST-1040</t>
  </si>
  <si>
    <t xml:space="preserve">Paula Moreno</t>
  </si>
  <si>
    <t xml:space="preserve">5327.63</t>
  </si>
  <si>
    <t xml:space="preserve">ORD-14066</t>
  </si>
  <si>
    <t xml:space="preserve">08-16-2025</t>
  </si>
  <si>
    <t xml:space="preserve">2025-08-19</t>
  </si>
  <si>
    <t xml:space="preserve">CUST-1672</t>
  </si>
  <si>
    <t xml:space="preserve">Felicia Krueger</t>
  </si>
  <si>
    <t xml:space="preserve">266.88</t>
  </si>
  <si>
    <t xml:space="preserve">ORD-3898</t>
  </si>
  <si>
    <t xml:space="preserve">04-11-2026</t>
  </si>
  <si>
    <t xml:space="preserve">04-16-2026</t>
  </si>
  <si>
    <t xml:space="preserve">CUST-1344</t>
  </si>
  <si>
    <t xml:space="preserve">Kayla Rodriguez</t>
  </si>
  <si>
    <t xml:space="preserve">NASHVILLE</t>
  </si>
  <si>
    <t xml:space="preserve">6241.44</t>
  </si>
  <si>
    <t xml:space="preserve">ORD-5628</t>
  </si>
  <si>
    <t xml:space="preserve">14/08/2024</t>
  </si>
  <si>
    <t xml:space="preserve">17/08/2024</t>
  </si>
  <si>
    <t xml:space="preserve">CUST-1632</t>
  </si>
  <si>
    <t xml:space="preserve">Robert Cummings</t>
  </si>
  <si>
    <t xml:space="preserve">1065.06</t>
  </si>
  <si>
    <t xml:space="preserve">ORD-6557</t>
  </si>
  <si>
    <t xml:space="preserve">29/12/2023</t>
  </si>
  <si>
    <t xml:space="preserve">30/12/2023</t>
  </si>
  <si>
    <t xml:space="preserve">CUST-2250</t>
  </si>
  <si>
    <t xml:space="preserve">Matthew Hunt</t>
  </si>
  <si>
    <t xml:space="preserve">2304.0</t>
  </si>
  <si>
    <t xml:space="preserve">ORD-17327</t>
  </si>
  <si>
    <t xml:space="preserve">22-Feb-2026</t>
  </si>
  <si>
    <t xml:space="preserve">25/02/2026</t>
  </si>
  <si>
    <t xml:space="preserve">CUST-2203</t>
  </si>
  <si>
    <t xml:space="preserve">Tracey Phillips</t>
  </si>
  <si>
    <t xml:space="preserve">$1298.43</t>
  </si>
  <si>
    <t xml:space="preserve">ORD-10974</t>
  </si>
  <si>
    <t xml:space="preserve">05-03-2025</t>
  </si>
  <si>
    <t xml:space="preserve">CUST-1064</t>
  </si>
  <si>
    <t xml:space="preserve">Jessica Callahan</t>
  </si>
  <si>
    <t xml:space="preserve">5.82</t>
  </si>
  <si>
    <t xml:space="preserve">ORD-4607</t>
  </si>
  <si>
    <t xml:space="preserve">30/06/2024</t>
  </si>
  <si>
    <t xml:space="preserve">2024-07-04</t>
  </si>
  <si>
    <t xml:space="preserve">CUST-1662</t>
  </si>
  <si>
    <t xml:space="preserve">James Webster</t>
  </si>
  <si>
    <t xml:space="preserve">1029.7</t>
  </si>
  <si>
    <t xml:space="preserve">ORD-15411</t>
  </si>
  <si>
    <t xml:space="preserve">11-08-2025</t>
  </si>
  <si>
    <t xml:space="preserve">12-Nov-2025</t>
  </si>
  <si>
    <t xml:space="preserve">CUST-1907</t>
  </si>
  <si>
    <t xml:space="preserve">Kelly Haynes</t>
  </si>
  <si>
    <t xml:space="preserve">1302.48</t>
  </si>
  <si>
    <t xml:space="preserve">ORD-5320</t>
  </si>
  <si>
    <t xml:space="preserve">27-Aug-2025</t>
  </si>
  <si>
    <t xml:space="preserve">2025-08-30</t>
  </si>
  <si>
    <t xml:space="preserve">CUST-2347</t>
  </si>
  <si>
    <t xml:space="preserve">Kelly Mclaughlin</t>
  </si>
  <si>
    <t xml:space="preserve">2901.6</t>
  </si>
  <si>
    <t xml:space="preserve">ORD-13912</t>
  </si>
  <si>
    <t xml:space="preserve">13-Jan-2025</t>
  </si>
  <si>
    <t xml:space="preserve">20/01/2025</t>
  </si>
  <si>
    <t xml:space="preserve">CUST-1393</t>
  </si>
  <si>
    <t xml:space="preserve">Robert Montgomery</t>
  </si>
  <si>
    <t xml:space="preserve">1132.5</t>
  </si>
  <si>
    <t xml:space="preserve">ORD-15204</t>
  </si>
  <si>
    <t xml:space="preserve">10/11/2024</t>
  </si>
  <si>
    <t xml:space="preserve">CUST-1872</t>
  </si>
  <si>
    <t xml:space="preserve">Michael Blair</t>
  </si>
  <si>
    <t xml:space="preserve">70.28</t>
  </si>
  <si>
    <t xml:space="preserve">ORD-8261</t>
  </si>
  <si>
    <t xml:space="preserve">10/02/2026</t>
  </si>
  <si>
    <t xml:space="preserve">13/02/2026</t>
  </si>
  <si>
    <t xml:space="preserve">CUST-1609</t>
  </si>
  <si>
    <t xml:space="preserve">Casey Chase</t>
  </si>
  <si>
    <t xml:space="preserve">218.05</t>
  </si>
  <si>
    <t xml:space="preserve">ORD-10550</t>
  </si>
  <si>
    <t xml:space="preserve">27-Dec-2025</t>
  </si>
  <si>
    <t xml:space="preserve">2025-12-30</t>
  </si>
  <si>
    <t xml:space="preserve">CUST-1837</t>
  </si>
  <si>
    <t xml:space="preserve">Carol Sanders</t>
  </si>
  <si>
    <t xml:space="preserve"> Houston  </t>
  </si>
  <si>
    <t xml:space="preserve">589.2</t>
  </si>
  <si>
    <t xml:space="preserve">ORD-17571</t>
  </si>
  <si>
    <t xml:space="preserve">21/03/2025</t>
  </si>
  <si>
    <t xml:space="preserve">28/03/2025</t>
  </si>
  <si>
    <t xml:space="preserve">CUST-1823</t>
  </si>
  <si>
    <t xml:space="preserve">Jackie Clements</t>
  </si>
  <si>
    <t xml:space="preserve">$770.0</t>
  </si>
  <si>
    <t xml:space="preserve">ORD-9668</t>
  </si>
  <si>
    <t xml:space="preserve">01-21-2025</t>
  </si>
  <si>
    <t xml:space="preserve">2025-01-28</t>
  </si>
  <si>
    <t xml:space="preserve">CUST-1074</t>
  </si>
  <si>
    <t xml:space="preserve">Amy Silva</t>
  </si>
  <si>
    <t xml:space="preserve">LAS VEGAS</t>
  </si>
  <si>
    <t xml:space="preserve">29.66</t>
  </si>
  <si>
    <t xml:space="preserve">ORD-15959</t>
  </si>
  <si>
    <t xml:space="preserve">02-Jan-2024</t>
  </si>
  <si>
    <t xml:space="preserve">01-04-2024</t>
  </si>
  <si>
    <t xml:space="preserve">CUST-1263</t>
  </si>
  <si>
    <t xml:space="preserve">Diane Evans</t>
  </si>
  <si>
    <t xml:space="preserve">197.76</t>
  </si>
  <si>
    <t xml:space="preserve">ORD-5650</t>
  </si>
  <si>
    <t xml:space="preserve">24-Sep-2023</t>
  </si>
  <si>
    <t xml:space="preserve">602.66</t>
  </si>
  <si>
    <t xml:space="preserve">ORD-5807</t>
  </si>
  <si>
    <t xml:space="preserve">03-27-2024</t>
  </si>
  <si>
    <t xml:space="preserve">03-31-2024</t>
  </si>
  <si>
    <t xml:space="preserve">CUST-1462</t>
  </si>
  <si>
    <t xml:space="preserve">Riley Bryant</t>
  </si>
  <si>
    <t xml:space="preserve">$684.88</t>
  </si>
  <si>
    <t xml:space="preserve">ORD-12243</t>
  </si>
  <si>
    <t xml:space="preserve">09-15-2024</t>
  </si>
  <si>
    <t xml:space="preserve">CUST-1326</t>
  </si>
  <si>
    <t xml:space="preserve">Brett Burns</t>
  </si>
  <si>
    <t xml:space="preserve">201.42</t>
  </si>
  <si>
    <t xml:space="preserve">ORD-10948</t>
  </si>
  <si>
    <t xml:space="preserve">06-08-2025</t>
  </si>
  <si>
    <t xml:space="preserve">284.88</t>
  </si>
  <si>
    <t xml:space="preserve">ORD-12015</t>
  </si>
  <si>
    <t xml:space="preserve">2024-11-14</t>
  </si>
  <si>
    <t xml:space="preserve">CUST-1543</t>
  </si>
  <si>
    <t xml:space="preserve">Kathleen Robertson</t>
  </si>
  <si>
    <t xml:space="preserve">1793.8</t>
  </si>
  <si>
    <t xml:space="preserve">ORD-14779</t>
  </si>
  <si>
    <t xml:space="preserve">08-13-2023</t>
  </si>
  <si>
    <t xml:space="preserve">14-Aug-2023</t>
  </si>
  <si>
    <t xml:space="preserve">CUST-1229</t>
  </si>
  <si>
    <t xml:space="preserve">Lori Guerrero</t>
  </si>
  <si>
    <t xml:space="preserve">$343.88</t>
  </si>
  <si>
    <t xml:space="preserve">ORD-3541</t>
  </si>
  <si>
    <t xml:space="preserve">03-21-2026</t>
  </si>
  <si>
    <t xml:space="preserve">2026-03-23</t>
  </si>
  <si>
    <t xml:space="preserve">CUST-2356</t>
  </si>
  <si>
    <t xml:space="preserve">Kristine Carrillo</t>
  </si>
  <si>
    <t xml:space="preserve">KANSAS CITY</t>
  </si>
  <si>
    <t xml:space="preserve">1649.1 </t>
  </si>
  <si>
    <t xml:space="preserve">ORD-12107</t>
  </si>
  <si>
    <t xml:space="preserve">01-Nov-2023</t>
  </si>
  <si>
    <t xml:space="preserve">2023-11-03</t>
  </si>
  <si>
    <t xml:space="preserve">ann arbor</t>
  </si>
  <si>
    <t xml:space="preserve">93.9</t>
  </si>
  <si>
    <t xml:space="preserve">ORD-3319</t>
  </si>
  <si>
    <t xml:space="preserve">11-17-2024</t>
  </si>
  <si>
    <t xml:space="preserve">21/11/2024</t>
  </si>
  <si>
    <t xml:space="preserve">CUST-2256</t>
  </si>
  <si>
    <t xml:space="preserve">Mr. Carl Rios</t>
  </si>
  <si>
    <t xml:space="preserve">1002.2</t>
  </si>
  <si>
    <t xml:space="preserve">ORD-12394</t>
  </si>
  <si>
    <t xml:space="preserve">26/10/2025</t>
  </si>
  <si>
    <t xml:space="preserve">02/11/2025</t>
  </si>
  <si>
    <t xml:space="preserve">CUST-1207</t>
  </si>
  <si>
    <t xml:space="preserve">Cathy Robinson</t>
  </si>
  <si>
    <t xml:space="preserve">$132.79</t>
  </si>
  <si>
    <t xml:space="preserve">ORD-4338</t>
  </si>
  <si>
    <t xml:space="preserve">08-Nov-2025</t>
  </si>
  <si>
    <t xml:space="preserve">13/11/2025</t>
  </si>
  <si>
    <t xml:space="preserve">1187.82</t>
  </si>
  <si>
    <t xml:space="preserve">ORD-4630</t>
  </si>
  <si>
    <t xml:space="preserve">11-15-2024</t>
  </si>
  <si>
    <t xml:space="preserve">1325.08</t>
  </si>
  <si>
    <t xml:space="preserve">ORD-8519</t>
  </si>
  <si>
    <t xml:space="preserve">09-20-2023</t>
  </si>
  <si>
    <t xml:space="preserve">23/09/2023</t>
  </si>
  <si>
    <t xml:space="preserve">CUST-1235</t>
  </si>
  <si>
    <t xml:space="preserve">Kathryn Snyder</t>
  </si>
  <si>
    <t xml:space="preserve">457.96</t>
  </si>
  <si>
    <t xml:space="preserve">ORD-5656</t>
  </si>
  <si>
    <t xml:space="preserve">CUST-1455</t>
  </si>
  <si>
    <t xml:space="preserve">Marie Moody</t>
  </si>
  <si>
    <t xml:space="preserve">367.29</t>
  </si>
  <si>
    <t xml:space="preserve">ORD-14485</t>
  </si>
  <si>
    <t xml:space="preserve">10/06/2026</t>
  </si>
  <si>
    <t xml:space="preserve">11/06/2026</t>
  </si>
  <si>
    <t xml:space="preserve">CUST-1315</t>
  </si>
  <si>
    <t xml:space="preserve">Jordan Chambers</t>
  </si>
  <si>
    <t xml:space="preserve">LOS ANGELES</t>
  </si>
  <si>
    <t xml:space="preserve">109.68</t>
  </si>
  <si>
    <t xml:space="preserve">ORD-4387</t>
  </si>
  <si>
    <t xml:space="preserve">13-Sep-2025</t>
  </si>
  <si>
    <t xml:space="preserve">485.01</t>
  </si>
  <si>
    <t xml:space="preserve">ORD-14164</t>
  </si>
  <si>
    <t xml:space="preserve">2023-11-10</t>
  </si>
  <si>
    <t xml:space="preserve">2023-11-17</t>
  </si>
  <si>
    <t xml:space="preserve">95.5</t>
  </si>
  <si>
    <t xml:space="preserve">ORD-17580</t>
  </si>
  <si>
    <t xml:space="preserve">2025-10-06</t>
  </si>
  <si>
    <t xml:space="preserve">10-07-2025</t>
  </si>
  <si>
    <t xml:space="preserve">CUST-1887</t>
  </si>
  <si>
    <t xml:space="preserve">Dana Ruiz</t>
  </si>
  <si>
    <t xml:space="preserve">167.58</t>
  </si>
  <si>
    <t xml:space="preserve">ORD-3029</t>
  </si>
  <si>
    <t xml:space="preserve">09-20-2025</t>
  </si>
  <si>
    <t xml:space="preserve">24-Sep-2025</t>
  </si>
  <si>
    <t xml:space="preserve">CUST-1347</t>
  </si>
  <si>
    <t xml:space="preserve">Victor Brown</t>
  </si>
  <si>
    <t xml:space="preserve">7563.16</t>
  </si>
  <si>
    <t xml:space="preserve">ORD-16896</t>
  </si>
  <si>
    <t xml:space="preserve">01/05/2025</t>
  </si>
  <si>
    <t xml:space="preserve">02/05/2025</t>
  </si>
  <si>
    <t xml:space="preserve">CUST-1171</t>
  </si>
  <si>
    <t xml:space="preserve">Darlene Miller</t>
  </si>
  <si>
    <t xml:space="preserve">4809.66</t>
  </si>
  <si>
    <t xml:space="preserve">ORD-9087</t>
  </si>
  <si>
    <t xml:space="preserve">29-Jun-2024</t>
  </si>
  <si>
    <t xml:space="preserve">3675.28</t>
  </si>
  <si>
    <t xml:space="preserve">ORD-17950</t>
  </si>
  <si>
    <t xml:space="preserve">09-06-2024</t>
  </si>
  <si>
    <t xml:space="preserve">CUST-1761</t>
  </si>
  <si>
    <t xml:space="preserve">Amanda Terrell</t>
  </si>
  <si>
    <t xml:space="preserve">780.15</t>
  </si>
  <si>
    <t xml:space="preserve">ORD-3460</t>
  </si>
  <si>
    <t xml:space="preserve">13/09/2024</t>
  </si>
  <si>
    <t xml:space="preserve">09-20-2024</t>
  </si>
  <si>
    <t xml:space="preserve">532.18</t>
  </si>
  <si>
    <t xml:space="preserve">ORD-7220</t>
  </si>
  <si>
    <t xml:space="preserve">08-08-2024</t>
  </si>
  <si>
    <t xml:space="preserve">13/08/2024</t>
  </si>
  <si>
    <t xml:space="preserve">5.64</t>
  </si>
  <si>
    <t xml:space="preserve">ORD-14057</t>
  </si>
  <si>
    <t xml:space="preserve">2025-10-14</t>
  </si>
  <si>
    <t xml:space="preserve">5808.78</t>
  </si>
  <si>
    <t xml:space="preserve">ORD-4738</t>
  </si>
  <si>
    <t xml:space="preserve">10-27-2023</t>
  </si>
  <si>
    <t xml:space="preserve">2023-10-29</t>
  </si>
  <si>
    <t xml:space="preserve">CUST-1570</t>
  </si>
  <si>
    <t xml:space="preserve">Ashley Smith</t>
  </si>
  <si>
    <t xml:space="preserve"> Baton Rouge  </t>
  </si>
  <si>
    <t xml:space="preserve">3084.0</t>
  </si>
  <si>
    <t xml:space="preserve">ORD-14415</t>
  </si>
  <si>
    <t xml:space="preserve">26/12/2023</t>
  </si>
  <si>
    <t xml:space="preserve">29.56</t>
  </si>
  <si>
    <t xml:space="preserve">ORD-9036</t>
  </si>
  <si>
    <t xml:space="preserve">22/08/2023</t>
  </si>
  <si>
    <t xml:space="preserve">2023-08-29</t>
  </si>
  <si>
    <t xml:space="preserve">CUST-2034</t>
  </si>
  <si>
    <t xml:space="preserve">Chelsea Lewis</t>
  </si>
  <si>
    <t xml:space="preserve">2892.47</t>
  </si>
  <si>
    <t xml:space="preserve">ORD-10265</t>
  </si>
  <si>
    <t xml:space="preserve">2026-06-14</t>
  </si>
  <si>
    <t xml:space="preserve">2026-06-21</t>
  </si>
  <si>
    <t xml:space="preserve">JERSEY CITY</t>
  </si>
  <si>
    <t xml:space="preserve">404.4</t>
  </si>
  <si>
    <t xml:space="preserve">ORD-12865</t>
  </si>
  <si>
    <t xml:space="preserve">12-Jun-2026</t>
  </si>
  <si>
    <t xml:space="preserve">15/06/2026</t>
  </si>
  <si>
    <t xml:space="preserve">CUST-2036</t>
  </si>
  <si>
    <t xml:space="preserve">Samantha Robertson</t>
  </si>
  <si>
    <t xml:space="preserve">364.72</t>
  </si>
  <si>
    <t xml:space="preserve">ORD-10957</t>
  </si>
  <si>
    <t xml:space="preserve">16-Jan-2024</t>
  </si>
  <si>
    <t xml:space="preserve">CUST-2285</t>
  </si>
  <si>
    <t xml:space="preserve">Sandy Baker</t>
  </si>
  <si>
    <t xml:space="preserve">1858.4</t>
  </si>
  <si>
    <t xml:space="preserve">ORD-12542</t>
  </si>
  <si>
    <t xml:space="preserve">CUST-1360</t>
  </si>
  <si>
    <t xml:space="preserve">Parker Cain</t>
  </si>
  <si>
    <t xml:space="preserve">2871.61</t>
  </si>
  <si>
    <t xml:space="preserve">ORD-8276</t>
  </si>
  <si>
    <t xml:space="preserve">2024-01-14</t>
  </si>
  <si>
    <t xml:space="preserve">CUST-2210</t>
  </si>
  <si>
    <t xml:space="preserve">Mary Henry</t>
  </si>
  <si>
    <t xml:space="preserve">1094.5</t>
  </si>
  <si>
    <t xml:space="preserve">ORD-8062</t>
  </si>
  <si>
    <t xml:space="preserve">07-27-2023</t>
  </si>
  <si>
    <t xml:space="preserve">2023-08-01</t>
  </si>
  <si>
    <t xml:space="preserve">CUST-1816</t>
  </si>
  <si>
    <t xml:space="preserve">Tamara Riddle</t>
  </si>
  <si>
    <t xml:space="preserve">1347.05</t>
  </si>
  <si>
    <t xml:space="preserve">ORD-7696</t>
  </si>
  <si>
    <t xml:space="preserve">2025-02-28</t>
  </si>
  <si>
    <t xml:space="preserve">2025-03-01</t>
  </si>
  <si>
    <t xml:space="preserve">721.8</t>
  </si>
  <si>
    <t xml:space="preserve">ORD-6137</t>
  </si>
  <si>
    <t xml:space="preserve">CUST-1042</t>
  </si>
  <si>
    <t xml:space="preserve">Sherry Decker</t>
  </si>
  <si>
    <t xml:space="preserve">$556.82</t>
  </si>
  <si>
    <t xml:space="preserve">ORD-11077</t>
  </si>
  <si>
    <t xml:space="preserve">26-Feb-2024</t>
  </si>
  <si>
    <t xml:space="preserve">27/02/2024</t>
  </si>
  <si>
    <t xml:space="preserve">CUST-1379</t>
  </si>
  <si>
    <t xml:space="preserve">Megan Nelson</t>
  </si>
  <si>
    <t xml:space="preserve">4183.68</t>
  </si>
  <si>
    <t xml:space="preserve">ORD-14300</t>
  </si>
  <si>
    <t xml:space="preserve">14/06/2024</t>
  </si>
  <si>
    <t xml:space="preserve">06-16-2024</t>
  </si>
  <si>
    <t xml:space="preserve">CUST-2183</t>
  </si>
  <si>
    <t xml:space="preserve">Miss Tina Gordon</t>
  </si>
  <si>
    <t xml:space="preserve">359.76</t>
  </si>
  <si>
    <t xml:space="preserve">ORD-9334</t>
  </si>
  <si>
    <t xml:space="preserve">21-May-2025</t>
  </si>
  <si>
    <t xml:space="preserve">2025-05-24</t>
  </si>
  <si>
    <t xml:space="preserve"> Las Vegas  </t>
  </si>
  <si>
    <t xml:space="preserve">152.5</t>
  </si>
  <si>
    <t xml:space="preserve">ORD-14808</t>
  </si>
  <si>
    <t xml:space="preserve">06-04-2026</t>
  </si>
  <si>
    <t xml:space="preserve">06-Jun-2026</t>
  </si>
  <si>
    <t xml:space="preserve">CUST-2249</t>
  </si>
  <si>
    <t xml:space="preserve">Stephanie Cooper</t>
  </si>
  <si>
    <t xml:space="preserve">1257.5</t>
  </si>
  <si>
    <t xml:space="preserve">ORD-10393</t>
  </si>
  <si>
    <t xml:space="preserve">07-May-2026</t>
  </si>
  <si>
    <t xml:space="preserve">216.4</t>
  </si>
  <si>
    <t xml:space="preserve">ORD-11636</t>
  </si>
  <si>
    <t xml:space="preserve">2023-11-24</t>
  </si>
  <si>
    <t xml:space="preserve">11-27-2023</t>
  </si>
  <si>
    <t xml:space="preserve">CUST-2111</t>
  </si>
  <si>
    <t xml:space="preserve">Breanna Rivas</t>
  </si>
  <si>
    <t xml:space="preserve">174.96</t>
  </si>
  <si>
    <t xml:space="preserve">ORD-4762</t>
  </si>
  <si>
    <t xml:space="preserve">12/01/2026</t>
  </si>
  <si>
    <t xml:space="preserve">2026-01-19</t>
  </si>
  <si>
    <t xml:space="preserve">CUST-1874</t>
  </si>
  <si>
    <t xml:space="preserve">Jesse Lynch</t>
  </si>
  <si>
    <t xml:space="preserve">13.74</t>
  </si>
  <si>
    <t xml:space="preserve">ORD-13708</t>
  </si>
  <si>
    <t xml:space="preserve">11-Nov-2023</t>
  </si>
  <si>
    <t xml:space="preserve">11-13-2023</t>
  </si>
  <si>
    <t xml:space="preserve">CUST-1663</t>
  </si>
  <si>
    <t xml:space="preserve">Samuel Turner</t>
  </si>
  <si>
    <t xml:space="preserve">BOULDER</t>
  </si>
  <si>
    <t xml:space="preserve">583.25</t>
  </si>
  <si>
    <t xml:space="preserve">ORD-3310</t>
  </si>
  <si>
    <t xml:space="preserve">29-Oct-2024</t>
  </si>
  <si>
    <t xml:space="preserve">01-Nov-2024</t>
  </si>
  <si>
    <t xml:space="preserve">CUST-1155</t>
  </si>
  <si>
    <t xml:space="preserve">Michelle Brown</t>
  </si>
  <si>
    <t xml:space="preserve">107.91</t>
  </si>
  <si>
    <t xml:space="preserve">ORD-14427</t>
  </si>
  <si>
    <t xml:space="preserve">2025-03-14</t>
  </si>
  <si>
    <t xml:space="preserve">18-Mar-2025</t>
  </si>
  <si>
    <t xml:space="preserve">louisville</t>
  </si>
  <si>
    <t xml:space="preserve">2332.89</t>
  </si>
  <si>
    <t xml:space="preserve">ORD-16683</t>
  </si>
  <si>
    <t xml:space="preserve">18/04/2025</t>
  </si>
  <si>
    <t xml:space="preserve">CUST-1493</t>
  </si>
  <si>
    <t xml:space="preserve">Mark Cox</t>
  </si>
  <si>
    <t xml:space="preserve">536.8</t>
  </si>
  <si>
    <t xml:space="preserve">ORD-8726</t>
  </si>
  <si>
    <t xml:space="preserve">03-04-2026</t>
  </si>
  <si>
    <t xml:space="preserve">03-08-2026</t>
  </si>
  <si>
    <t xml:space="preserve">CUST-2078</t>
  </si>
  <si>
    <t xml:space="preserve">490.0</t>
  </si>
  <si>
    <t xml:space="preserve">ORD-17097</t>
  </si>
  <si>
    <t xml:space="preserve">2025-08-08</t>
  </si>
  <si>
    <t xml:space="preserve">15/08/2025</t>
  </si>
  <si>
    <t xml:space="preserve">61.4</t>
  </si>
  <si>
    <t xml:space="preserve">ORD-12648</t>
  </si>
  <si>
    <t xml:space="preserve">01-05-2026</t>
  </si>
  <si>
    <t xml:space="preserve">CUST-1297</t>
  </si>
  <si>
    <t xml:space="preserve">William Barrett</t>
  </si>
  <si>
    <t xml:space="preserve">373.14</t>
  </si>
  <si>
    <t xml:space="preserve">ORD-15887</t>
  </si>
  <si>
    <t xml:space="preserve">12-Aug-2023</t>
  </si>
  <si>
    <t xml:space="preserve">13-Aug-2023</t>
  </si>
  <si>
    <t xml:space="preserve">HOUSTON</t>
  </si>
  <si>
    <t xml:space="preserve">31.4</t>
  </si>
  <si>
    <t xml:space="preserve">ORD-3726</t>
  </si>
  <si>
    <t xml:space="preserve">02-10-2025</t>
  </si>
  <si>
    <t xml:space="preserve">02-17-2025</t>
  </si>
  <si>
    <t xml:space="preserve">CUST-2390</t>
  </si>
  <si>
    <t xml:space="preserve">Dr. Samuel Holmes DDS</t>
  </si>
  <si>
    <t xml:space="preserve">436.32</t>
  </si>
  <si>
    <t xml:space="preserve">ORD-8304</t>
  </si>
  <si>
    <t xml:space="preserve">04-May-2025</t>
  </si>
  <si>
    <t xml:space="preserve">$78.24</t>
  </si>
  <si>
    <t xml:space="preserve">ORD-12478</t>
  </si>
  <si>
    <t xml:space="preserve">2024-09-11</t>
  </si>
  <si>
    <t xml:space="preserve">18/09/2024</t>
  </si>
  <si>
    <t xml:space="preserve">CUST-2338</t>
  </si>
  <si>
    <t xml:space="preserve">Andrew Cruz</t>
  </si>
  <si>
    <t xml:space="preserve">241.0</t>
  </si>
  <si>
    <t xml:space="preserve">ORD-6615</t>
  </si>
  <si>
    <t xml:space="preserve">01-19-2025</t>
  </si>
  <si>
    <t xml:space="preserve">23/01/2025</t>
  </si>
  <si>
    <t xml:space="preserve">CUST-2063</t>
  </si>
  <si>
    <t xml:space="preserve">Ralph Yoder</t>
  </si>
  <si>
    <t xml:space="preserve">34.3</t>
  </si>
  <si>
    <t xml:space="preserve">ORD-4458</t>
  </si>
  <si>
    <t xml:space="preserve">25/09/2025</t>
  </si>
  <si>
    <t xml:space="preserve">26/09/2025</t>
  </si>
  <si>
    <t xml:space="preserve">CUST-2286</t>
  </si>
  <si>
    <t xml:space="preserve">Carrie Valdez</t>
  </si>
  <si>
    <t xml:space="preserve">1627.92</t>
  </si>
  <si>
    <t xml:space="preserve">ORD-15723</t>
  </si>
  <si>
    <t xml:space="preserve">2026-03-04</t>
  </si>
  <si>
    <t xml:space="preserve">2026-03-09</t>
  </si>
  <si>
    <t xml:space="preserve">CUST-1412</t>
  </si>
  <si>
    <t xml:space="preserve">Julian Conner</t>
  </si>
  <si>
    <t xml:space="preserve">1403.36</t>
  </si>
  <si>
    <t xml:space="preserve">ORD-17181</t>
  </si>
  <si>
    <t xml:space="preserve">2024-10-21</t>
  </si>
  <si>
    <t xml:space="preserve">23-Oct-2024</t>
  </si>
  <si>
    <t xml:space="preserve">728.46</t>
  </si>
  <si>
    <t xml:space="preserve">ORD-10503</t>
  </si>
  <si>
    <t xml:space="preserve">04-Jul-2025</t>
  </si>
  <si>
    <t xml:space="preserve">05-Jul-2025</t>
  </si>
  <si>
    <t xml:space="preserve">CUST-2196</t>
  </si>
  <si>
    <t xml:space="preserve">Donna Beck</t>
  </si>
  <si>
    <t xml:space="preserve">1880.55</t>
  </si>
  <si>
    <t xml:space="preserve">ORD-13438</t>
  </si>
  <si>
    <t xml:space="preserve">18-Oct-2024</t>
  </si>
  <si>
    <t xml:space="preserve">2024-10-19</t>
  </si>
  <si>
    <t xml:space="preserve">CUST-1357</t>
  </si>
  <si>
    <t xml:space="preserve">Jeffery Ortega</t>
  </si>
  <si>
    <t xml:space="preserve"> Portland  </t>
  </si>
  <si>
    <t xml:space="preserve">2989.5</t>
  </si>
  <si>
    <t xml:space="preserve">ORD-7914</t>
  </si>
  <si>
    <t xml:space="preserve">24-Mar-2026</t>
  </si>
  <si>
    <t xml:space="preserve">03-27-2026</t>
  </si>
  <si>
    <t xml:space="preserve">CUST-1697</t>
  </si>
  <si>
    <t xml:space="preserve">Alicia Li</t>
  </si>
  <si>
    <t xml:space="preserve">944.85</t>
  </si>
  <si>
    <t xml:space="preserve">ORD-17275</t>
  </si>
  <si>
    <t xml:space="preserve">26-Jun-2024</t>
  </si>
  <si>
    <t xml:space="preserve">06-28-2024</t>
  </si>
  <si>
    <t xml:space="preserve">1881.11</t>
  </si>
  <si>
    <t xml:space="preserve">ORD-7494</t>
  </si>
  <si>
    <t xml:space="preserve">07/05/2025</t>
  </si>
  <si>
    <t xml:space="preserve">12/05/2025</t>
  </si>
  <si>
    <t xml:space="preserve">CUST-1352</t>
  </si>
  <si>
    <t xml:space="preserve">42.03</t>
  </si>
  <si>
    <t xml:space="preserve">ORD-14056</t>
  </si>
  <si>
    <t xml:space="preserve">07-Jan-2025</t>
  </si>
  <si>
    <t xml:space="preserve">01-10-2025</t>
  </si>
  <si>
    <t xml:space="preserve">615.89</t>
  </si>
  <si>
    <t xml:space="preserve">ORD-14949</t>
  </si>
  <si>
    <t xml:space="preserve">22/03/2026</t>
  </si>
  <si>
    <t xml:space="preserve">27/03/2026</t>
  </si>
  <si>
    <t xml:space="preserve">168.21</t>
  </si>
  <si>
    <t xml:space="preserve">ORD-5956</t>
  </si>
  <si>
    <t xml:space="preserve">18-Aug-2023</t>
  </si>
  <si>
    <t xml:space="preserve">CUST-2261</t>
  </si>
  <si>
    <t xml:space="preserve">David Walker</t>
  </si>
  <si>
    <t xml:space="preserve">801.9</t>
  </si>
  <si>
    <t xml:space="preserve">ORD-17212</t>
  </si>
  <si>
    <t xml:space="preserve">2024-08-23</t>
  </si>
  <si>
    <t xml:space="preserve">24/08/2024</t>
  </si>
  <si>
    <t xml:space="preserve">CUST-1216</t>
  </si>
  <si>
    <t xml:space="preserve">Rodney Morales</t>
  </si>
  <si>
    <t xml:space="preserve"> Tampa  </t>
  </si>
  <si>
    <t xml:space="preserve">1032.05</t>
  </si>
  <si>
    <t xml:space="preserve">ORD-10171</t>
  </si>
  <si>
    <t xml:space="preserve">19/05/2025</t>
  </si>
  <si>
    <t xml:space="preserve">CUST-1659</t>
  </si>
  <si>
    <t xml:space="preserve">Lori Simmons</t>
  </si>
  <si>
    <t xml:space="preserve">749.2</t>
  </si>
  <si>
    <t xml:space="preserve">ORD-16100</t>
  </si>
  <si>
    <t xml:space="preserve">10-03-2025</t>
  </si>
  <si>
    <t xml:space="preserve">CUST-2396</t>
  </si>
  <si>
    <t xml:space="preserve">Alejandro Martinez</t>
  </si>
  <si>
    <t xml:space="preserve">448.1 </t>
  </si>
  <si>
    <t xml:space="preserve">ORD-14866</t>
  </si>
  <si>
    <t xml:space="preserve">04-Sep-2025</t>
  </si>
  <si>
    <t xml:space="preserve">2025-09-07</t>
  </si>
  <si>
    <t xml:space="preserve">CUST-2367</t>
  </si>
  <si>
    <t xml:space="preserve">Nicolas Salas</t>
  </si>
  <si>
    <t xml:space="preserve">2825.94</t>
  </si>
  <si>
    <t xml:space="preserve">ORD-11425</t>
  </si>
  <si>
    <t xml:space="preserve">02-23-2026</t>
  </si>
  <si>
    <t xml:space="preserve">2026-02-24</t>
  </si>
  <si>
    <t xml:space="preserve">CUST-1541</t>
  </si>
  <si>
    <t xml:space="preserve">Sean Moore</t>
  </si>
  <si>
    <t xml:space="preserve">3651.9</t>
  </si>
  <si>
    <t xml:space="preserve">ORD-9897</t>
  </si>
  <si>
    <t xml:space="preserve">2023-08-20</t>
  </si>
  <si>
    <t xml:space="preserve">21-Aug-2023</t>
  </si>
  <si>
    <t xml:space="preserve">CUST-1988</t>
  </si>
  <si>
    <t xml:space="preserve">Anna Wheeler</t>
  </si>
  <si>
    <t xml:space="preserve">317.9</t>
  </si>
  <si>
    <t xml:space="preserve">ORD-9745</t>
  </si>
  <si>
    <t xml:space="preserve">CUST-1558</t>
  </si>
  <si>
    <t xml:space="preserve">Larry Robertson</t>
  </si>
  <si>
    <t xml:space="preserve">4217.12</t>
  </si>
  <si>
    <t xml:space="preserve">ORD-14936</t>
  </si>
  <si>
    <t xml:space="preserve">2025-04-18</t>
  </si>
  <si>
    <t xml:space="preserve">20-Apr-2025</t>
  </si>
  <si>
    <t xml:space="preserve">344.56</t>
  </si>
  <si>
    <t xml:space="preserve">ORD-4435</t>
  </si>
  <si>
    <t xml:space="preserve">23-Sep-2025</t>
  </si>
  <si>
    <t xml:space="preserve">30-Sep-2025</t>
  </si>
  <si>
    <t xml:space="preserve">CUST-1277</t>
  </si>
  <si>
    <t xml:space="preserve">Marie Christian</t>
  </si>
  <si>
    <t xml:space="preserve">399.76</t>
  </si>
  <si>
    <t xml:space="preserve">ORD-5335</t>
  </si>
  <si>
    <t xml:space="preserve">01-16-2024</t>
  </si>
  <si>
    <t xml:space="preserve">01-17-2024</t>
  </si>
  <si>
    <t xml:space="preserve">231.15</t>
  </si>
  <si>
    <t xml:space="preserve">ORD-10230</t>
  </si>
  <si>
    <t xml:space="preserve">2023-12-21</t>
  </si>
  <si>
    <t xml:space="preserve">2023-12-28</t>
  </si>
  <si>
    <t xml:space="preserve">CUST-1044</t>
  </si>
  <si>
    <t xml:space="preserve">Angelica Tucker</t>
  </si>
  <si>
    <t xml:space="preserve">816.08</t>
  </si>
  <si>
    <t xml:space="preserve">ORD-15864</t>
  </si>
  <si>
    <t xml:space="preserve">2025-03-16</t>
  </si>
  <si>
    <t xml:space="preserve">18/03/2025</t>
  </si>
  <si>
    <t xml:space="preserve">CUST-2176</t>
  </si>
  <si>
    <t xml:space="preserve">Pamela Hill</t>
  </si>
  <si>
    <t xml:space="preserve">99.68 </t>
  </si>
  <si>
    <t xml:space="preserve">ORD-11117</t>
  </si>
  <si>
    <t xml:space="preserve">19-Nov-2023</t>
  </si>
  <si>
    <t xml:space="preserve">2023-11-23</t>
  </si>
  <si>
    <t xml:space="preserve">706.18</t>
  </si>
  <si>
    <t xml:space="preserve">ORD-6355</t>
  </si>
  <si>
    <t xml:space="preserve">30-Sep-2023</t>
  </si>
  <si>
    <t xml:space="preserve">10-01-2023</t>
  </si>
  <si>
    <t xml:space="preserve">CUST-1123</t>
  </si>
  <si>
    <t xml:space="preserve">Michelle Harmon</t>
  </si>
  <si>
    <t xml:space="preserve">baton rouge</t>
  </si>
  <si>
    <t xml:space="preserve">2433.81</t>
  </si>
  <si>
    <t xml:space="preserve">ORD-11561</t>
  </si>
  <si>
    <t xml:space="preserve">05-14-2026</t>
  </si>
  <si>
    <t xml:space="preserve">17-May-2026</t>
  </si>
  <si>
    <t xml:space="preserve">CUST-1151</t>
  </si>
  <si>
    <t xml:space="preserve">Pamela Boyd</t>
  </si>
  <si>
    <t xml:space="preserve">buffalo</t>
  </si>
  <si>
    <t xml:space="preserve">2438.73</t>
  </si>
  <si>
    <t xml:space="preserve">ORD-11550</t>
  </si>
  <si>
    <t xml:space="preserve">01/11/2024</t>
  </si>
  <si>
    <t xml:space="preserve">06-Nov-2024</t>
  </si>
  <si>
    <t xml:space="preserve">117.48</t>
  </si>
  <si>
    <t xml:space="preserve">ORD-15147</t>
  </si>
  <si>
    <t xml:space="preserve">09/07/2026</t>
  </si>
  <si>
    <t xml:space="preserve">12-Jul-2026</t>
  </si>
  <si>
    <t xml:space="preserve">CUST-1852</t>
  </si>
  <si>
    <t xml:space="preserve">Victor Edwards</t>
  </si>
  <si>
    <t xml:space="preserve">memphis</t>
  </si>
  <si>
    <t xml:space="preserve">1880.34</t>
  </si>
  <si>
    <t xml:space="preserve">ORD-17642</t>
  </si>
  <si>
    <t xml:space="preserve">02-17-2026</t>
  </si>
  <si>
    <t xml:space="preserve">CUST-2332</t>
  </si>
  <si>
    <t xml:space="preserve">Michael Martin</t>
  </si>
  <si>
    <t xml:space="preserve">1816.4</t>
  </si>
  <si>
    <t xml:space="preserve">ORD-14432</t>
  </si>
  <si>
    <t xml:space="preserve">20-Jan-2025</t>
  </si>
  <si>
    <t xml:space="preserve">21-Jan-2025</t>
  </si>
  <si>
    <t xml:space="preserve">CUST-1592</t>
  </si>
  <si>
    <t xml:space="preserve">Jason Love</t>
  </si>
  <si>
    <t xml:space="preserve">4500.79</t>
  </si>
  <si>
    <t xml:space="preserve">ORD-12022</t>
  </si>
  <si>
    <t xml:space="preserve">09-07-2023</t>
  </si>
  <si>
    <t xml:space="preserve">CUST-1092</t>
  </si>
  <si>
    <t xml:space="preserve">Denise Jacobs</t>
  </si>
  <si>
    <t xml:space="preserve">1656.3</t>
  </si>
  <si>
    <t xml:space="preserve">ORD-4357</t>
  </si>
  <si>
    <t xml:space="preserve">28/10/2023</t>
  </si>
  <si>
    <t xml:space="preserve">CUST-2288</t>
  </si>
  <si>
    <t xml:space="preserve">Jamie Solomon</t>
  </si>
  <si>
    <t xml:space="preserve">148.84</t>
  </si>
  <si>
    <t xml:space="preserve">ORD-8060</t>
  </si>
  <si>
    <t xml:space="preserve">2025-12-18</t>
  </si>
  <si>
    <t xml:space="preserve">12-19-2025</t>
  </si>
  <si>
    <t xml:space="preserve">CUST-1985</t>
  </si>
  <si>
    <t xml:space="preserve">Elizabeth Flores</t>
  </si>
  <si>
    <t xml:space="preserve">1773.63</t>
  </si>
  <si>
    <t xml:space="preserve">ORD-9824</t>
  </si>
  <si>
    <t xml:space="preserve">2026-01-16</t>
  </si>
  <si>
    <t xml:space="preserve">CUST-1701</t>
  </si>
  <si>
    <t xml:space="preserve">James Watson</t>
  </si>
  <si>
    <t xml:space="preserve">223.68</t>
  </si>
  <si>
    <t xml:space="preserve">ORD-8575</t>
  </si>
  <si>
    <t xml:space="preserve">2024-10-23</t>
  </si>
  <si>
    <t xml:space="preserve">10-30-2024</t>
  </si>
  <si>
    <t xml:space="preserve">CUST-1224</t>
  </si>
  <si>
    <t xml:space="preserve">Matthew Moore</t>
  </si>
  <si>
    <t xml:space="preserve">1022.91</t>
  </si>
  <si>
    <t xml:space="preserve">ORD-5031</t>
  </si>
  <si>
    <t xml:space="preserve">29/10/2025</t>
  </si>
  <si>
    <t xml:space="preserve">11-03-2025</t>
  </si>
  <si>
    <t xml:space="preserve">CUST-1218</t>
  </si>
  <si>
    <t xml:space="preserve">Justin Torres</t>
  </si>
  <si>
    <t xml:space="preserve">cleveland</t>
  </si>
  <si>
    <t xml:space="preserve">4598.28</t>
  </si>
  <si>
    <t xml:space="preserve">ORD-14705</t>
  </si>
  <si>
    <t xml:space="preserve">10-26-2024</t>
  </si>
  <si>
    <t xml:space="preserve">CUST-1464</t>
  </si>
  <si>
    <t xml:space="preserve">Jose Allen</t>
  </si>
  <si>
    <t xml:space="preserve">4334.68</t>
  </si>
  <si>
    <t xml:space="preserve">ORD-8969</t>
  </si>
  <si>
    <t xml:space="preserve">11/01/2026</t>
  </si>
  <si>
    <t xml:space="preserve">14/01/2026</t>
  </si>
  <si>
    <t xml:space="preserve">CUST-1039</t>
  </si>
  <si>
    <t xml:space="preserve">Brittany Farmer</t>
  </si>
  <si>
    <t xml:space="preserve">1023.25</t>
  </si>
  <si>
    <t xml:space="preserve">ORD-17965</t>
  </si>
  <si>
    <t xml:space="preserve">14/11/2023</t>
  </si>
  <si>
    <t xml:space="preserve">11-16-2023</t>
  </si>
  <si>
    <t xml:space="preserve">CUST-1320</t>
  </si>
  <si>
    <t xml:space="preserve">Susan Turner</t>
  </si>
  <si>
    <t xml:space="preserve">3990.1</t>
  </si>
  <si>
    <t xml:space="preserve">ORD-7960</t>
  </si>
  <si>
    <t xml:space="preserve">06-10-2026</t>
  </si>
  <si>
    <t xml:space="preserve">2026-06-17</t>
  </si>
  <si>
    <t xml:space="preserve">2510.94</t>
  </si>
  <si>
    <t xml:space="preserve">ORD-8016</t>
  </si>
  <si>
    <t xml:space="preserve">15-Aug-2023</t>
  </si>
  <si>
    <t xml:space="preserve">CUST-1233</t>
  </si>
  <si>
    <t xml:space="preserve">Laura Roberts</t>
  </si>
  <si>
    <t xml:space="preserve">308.19</t>
  </si>
  <si>
    <t xml:space="preserve">ORD-7481</t>
  </si>
  <si>
    <t xml:space="preserve">10-Jan-2024</t>
  </si>
  <si>
    <t xml:space="preserve">CUST-1456</t>
  </si>
  <si>
    <t xml:space="preserve">Dustin Gallegos</t>
  </si>
  <si>
    <t xml:space="preserve">1338.5</t>
  </si>
  <si>
    <t xml:space="preserve">ORD-9682</t>
  </si>
  <si>
    <t xml:space="preserve">CUST-2341</t>
  </si>
  <si>
    <t xml:space="preserve">Jessica Harris</t>
  </si>
  <si>
    <t xml:space="preserve">6184.2</t>
  </si>
  <si>
    <t xml:space="preserve">ORD-17670</t>
  </si>
  <si>
    <t xml:space="preserve">27/06/2025</t>
  </si>
  <si>
    <t xml:space="preserve">CUST-2090</t>
  </si>
  <si>
    <t xml:space="preserve">Vincent Reyes</t>
  </si>
  <si>
    <t xml:space="preserve">807.56</t>
  </si>
  <si>
    <t xml:space="preserve">ORD-14906</t>
  </si>
  <si>
    <t xml:space="preserve">12-19-2023</t>
  </si>
  <si>
    <t xml:space="preserve">12-26-2023</t>
  </si>
  <si>
    <t xml:space="preserve">3403.26</t>
  </si>
  <si>
    <t xml:space="preserve">ORD-15916</t>
  </si>
  <si>
    <t xml:space="preserve">03-10-2025</t>
  </si>
  <si>
    <t xml:space="preserve">13-Mar-2025</t>
  </si>
  <si>
    <t xml:space="preserve">CUST-1714</t>
  </si>
  <si>
    <t xml:space="preserve">Jennifer Jones</t>
  </si>
  <si>
    <t xml:space="preserve">1377.72</t>
  </si>
  <si>
    <t xml:space="preserve">ORD-9456</t>
  </si>
  <si>
    <t xml:space="preserve">2023-09-11</t>
  </si>
  <si>
    <t xml:space="preserve">13/09/2023</t>
  </si>
  <si>
    <t xml:space="preserve">CUST-1016</t>
  </si>
  <si>
    <t xml:space="preserve">Holly Wood</t>
  </si>
  <si>
    <t xml:space="preserve">79.23</t>
  </si>
  <si>
    <t xml:space="preserve">ORD-15007</t>
  </si>
  <si>
    <t xml:space="preserve">09-21-2024</t>
  </si>
  <si>
    <t xml:space="preserve">2024-09-23</t>
  </si>
  <si>
    <t xml:space="preserve">CUST-2165</t>
  </si>
  <si>
    <t xml:space="preserve">Levi Lopez</t>
  </si>
  <si>
    <t xml:space="preserve">5870.7</t>
  </si>
  <si>
    <t xml:space="preserve">ORD-7497</t>
  </si>
  <si>
    <t xml:space="preserve">2026-01-11</t>
  </si>
  <si>
    <t xml:space="preserve">COLUMBUS</t>
  </si>
  <si>
    <t xml:space="preserve">2086.49</t>
  </si>
  <si>
    <t xml:space="preserve">ORD-16804</t>
  </si>
  <si>
    <t xml:space="preserve">17/04/2026</t>
  </si>
  <si>
    <t xml:space="preserve">21-Apr-2026</t>
  </si>
  <si>
    <t xml:space="preserve">621.06</t>
  </si>
  <si>
    <t xml:space="preserve">ORD-7799</t>
  </si>
  <si>
    <t xml:space="preserve">01/03/2026</t>
  </si>
  <si>
    <t xml:space="preserve">06/03/2026</t>
  </si>
  <si>
    <t xml:space="preserve">CUST-2141</t>
  </si>
  <si>
    <t xml:space="preserve">Vanessa Santiago</t>
  </si>
  <si>
    <t xml:space="preserve">1437.39</t>
  </si>
  <si>
    <t xml:space="preserve">ORD-14900</t>
  </si>
  <si>
    <t xml:space="preserve">11-23-2024</t>
  </si>
  <si>
    <t xml:space="preserve">26/11/2024</t>
  </si>
  <si>
    <t xml:space="preserve">CUST-2264</t>
  </si>
  <si>
    <t xml:space="preserve">Ian Torres</t>
  </si>
  <si>
    <t xml:space="preserve">1417.47</t>
  </si>
  <si>
    <t xml:space="preserve">ORD-17689</t>
  </si>
  <si>
    <t xml:space="preserve">22-Aug-2025</t>
  </si>
  <si>
    <t xml:space="preserve">CUST-2092</t>
  </si>
  <si>
    <t xml:space="preserve">Frank Whitaker</t>
  </si>
  <si>
    <t xml:space="preserve">138.13</t>
  </si>
  <si>
    <t xml:space="preserve">ORD-4575</t>
  </si>
  <si>
    <t xml:space="preserve">11-05-2025</t>
  </si>
  <si>
    <t xml:space="preserve">CUST-2094</t>
  </si>
  <si>
    <t xml:space="preserve">483.98</t>
  </si>
  <si>
    <t xml:space="preserve">ORD-16595</t>
  </si>
  <si>
    <t xml:space="preserve">04-22-2026</t>
  </si>
  <si>
    <t xml:space="preserve">2026-04-25</t>
  </si>
  <si>
    <t xml:space="preserve">CUST-2344</t>
  </si>
  <si>
    <t xml:space="preserve">Christopher Johnson</t>
  </si>
  <si>
    <t xml:space="preserve">5338.9</t>
  </si>
  <si>
    <t xml:space="preserve">ORD-14139</t>
  </si>
  <si>
    <t xml:space="preserve">2026-01-05</t>
  </si>
  <si>
    <t xml:space="preserve">06-Jan-2026</t>
  </si>
  <si>
    <t xml:space="preserve">2677.32</t>
  </si>
  <si>
    <t xml:space="preserve">ORD-12536</t>
  </si>
  <si>
    <t xml:space="preserve">06/03/2025</t>
  </si>
  <si>
    <t xml:space="preserve">03-09-2025</t>
  </si>
  <si>
    <t xml:space="preserve">440.64</t>
  </si>
  <si>
    <t xml:space="preserve">ORD-8524</t>
  </si>
  <si>
    <t xml:space="preserve">25-Feb-2024</t>
  </si>
  <si>
    <t xml:space="preserve">CUST-2385</t>
  </si>
  <si>
    <t xml:space="preserve">Christopher Anderson</t>
  </si>
  <si>
    <t xml:space="preserve">san antonio</t>
  </si>
  <si>
    <t xml:space="preserve">1909.95</t>
  </si>
  <si>
    <t xml:space="preserve">ORD-13929</t>
  </si>
  <si>
    <t xml:space="preserve">2025-01-04</t>
  </si>
  <si>
    <t xml:space="preserve">2025-01-09</t>
  </si>
  <si>
    <t xml:space="preserve">CUST-1906</t>
  </si>
  <si>
    <t xml:space="preserve">Michelle Davis DVM</t>
  </si>
  <si>
    <t xml:space="preserve">395.58</t>
  </si>
  <si>
    <t xml:space="preserve">ORD-5436</t>
  </si>
  <si>
    <t xml:space="preserve">14-Jul-2025</t>
  </si>
  <si>
    <t xml:space="preserve">25.99</t>
  </si>
  <si>
    <t xml:space="preserve">ORD-16673</t>
  </si>
  <si>
    <t xml:space="preserve">2024-08-08</t>
  </si>
  <si>
    <t xml:space="preserve">08-09-2024</t>
  </si>
  <si>
    <t xml:space="preserve">CUST-1678</t>
  </si>
  <si>
    <t xml:space="preserve">Jose Crawford</t>
  </si>
  <si>
    <t xml:space="preserve">3616.02</t>
  </si>
  <si>
    <t xml:space="preserve">ORD-16348</t>
  </si>
  <si>
    <t xml:space="preserve">2024-01-05</t>
  </si>
  <si>
    <t xml:space="preserve">01-06-2024</t>
  </si>
  <si>
    <t xml:space="preserve">1835.5</t>
  </si>
  <si>
    <t xml:space="preserve">ORD-12277</t>
  </si>
  <si>
    <t xml:space="preserve">2025-05-21</t>
  </si>
  <si>
    <t xml:space="preserve">28/05/2025</t>
  </si>
  <si>
    <t xml:space="preserve">CUST-1205</t>
  </si>
  <si>
    <t xml:space="preserve">David Martinez</t>
  </si>
  <si>
    <t xml:space="preserve">1423.46</t>
  </si>
  <si>
    <t xml:space="preserve">ORD-13316</t>
  </si>
  <si>
    <t xml:space="preserve">12-02-2024</t>
  </si>
  <si>
    <t xml:space="preserve">05/12/2024</t>
  </si>
  <si>
    <t xml:space="preserve">CUST-1468</t>
  </si>
  <si>
    <t xml:space="preserve">Katie Mcneil</t>
  </si>
  <si>
    <t xml:space="preserve"> Seattle  </t>
  </si>
  <si>
    <t xml:space="preserve">2111.13</t>
  </si>
  <si>
    <t xml:space="preserve">ORD-15234</t>
  </si>
  <si>
    <t xml:space="preserve">17/01/2025</t>
  </si>
  <si>
    <t xml:space="preserve">01-22-2025</t>
  </si>
  <si>
    <t xml:space="preserve">CUST-2097</t>
  </si>
  <si>
    <t xml:space="preserve">Nicholas Carlson</t>
  </si>
  <si>
    <t xml:space="preserve">166.9</t>
  </si>
  <si>
    <t xml:space="preserve">ORD-5998</t>
  </si>
  <si>
    <t xml:space="preserve">25-Sep-2023</t>
  </si>
  <si>
    <t xml:space="preserve">26-Sep-2023</t>
  </si>
  <si>
    <t xml:space="preserve">CUST-1551</t>
  </si>
  <si>
    <t xml:space="preserve">Angel Gordon</t>
  </si>
  <si>
    <t xml:space="preserve">140.22</t>
  </si>
  <si>
    <t xml:space="preserve">ORD-10327</t>
  </si>
  <si>
    <t xml:space="preserve">06-Dec-2025</t>
  </si>
  <si>
    <t xml:space="preserve">2025-12-10</t>
  </si>
  <si>
    <t xml:space="preserve">1727.77</t>
  </si>
  <si>
    <t xml:space="preserve">ORD-16619</t>
  </si>
  <si>
    <t xml:space="preserve">CUST-1095</t>
  </si>
  <si>
    <t xml:space="preserve">Anna Henderson</t>
  </si>
  <si>
    <t xml:space="preserve">1192.05</t>
  </si>
  <si>
    <t xml:space="preserve">ORD-3595</t>
  </si>
  <si>
    <t xml:space="preserve">31/08/2023</t>
  </si>
  <si>
    <t xml:space="preserve">04/09/2023</t>
  </si>
  <si>
    <t xml:space="preserve">CUST-1828</t>
  </si>
  <si>
    <t xml:space="preserve">Derrick Clayton</t>
  </si>
  <si>
    <t xml:space="preserve"> Newark  </t>
  </si>
  <si>
    <t xml:space="preserve">1726.83</t>
  </si>
  <si>
    <t xml:space="preserve">ORD-17521</t>
  </si>
  <si>
    <t xml:space="preserve">2026-02-22</t>
  </si>
  <si>
    <t xml:space="preserve">CUST-1769</t>
  </si>
  <si>
    <t xml:space="preserve">Todd Thomas</t>
  </si>
  <si>
    <t xml:space="preserve">3146.16</t>
  </si>
  <si>
    <t xml:space="preserve">ORD-17800</t>
  </si>
  <si>
    <t xml:space="preserve">2023-11-15</t>
  </si>
  <si>
    <t xml:space="preserve">81.53</t>
  </si>
  <si>
    <t xml:space="preserve">ORD-6937</t>
  </si>
  <si>
    <t xml:space="preserve">01/02/2026</t>
  </si>
  <si>
    <t xml:space="preserve">03/02/2026</t>
  </si>
  <si>
    <t xml:space="preserve">CUST-1227</t>
  </si>
  <si>
    <t xml:space="preserve">Michael Warner</t>
  </si>
  <si>
    <t xml:space="preserve">Los Angeles</t>
  </si>
  <si>
    <t xml:space="preserve">1258.0</t>
  </si>
  <si>
    <t xml:space="preserve">ORD-17443</t>
  </si>
  <si>
    <t xml:space="preserve">2024-10-03</t>
  </si>
  <si>
    <t xml:space="preserve">04/10/2024</t>
  </si>
  <si>
    <t xml:space="preserve">CUST-1598</t>
  </si>
  <si>
    <t xml:space="preserve">Kimberly Sharp</t>
  </si>
  <si>
    <t xml:space="preserve">421.18</t>
  </si>
  <si>
    <t xml:space="preserve">ORD-8846</t>
  </si>
  <si>
    <t xml:space="preserve">2024-06-14</t>
  </si>
  <si>
    <t xml:space="preserve">15-Jun-2024</t>
  </si>
  <si>
    <t xml:space="preserve">9393.66</t>
  </si>
  <si>
    <t xml:space="preserve">ORD-7253</t>
  </si>
  <si>
    <t xml:space="preserve">29/08/2023</t>
  </si>
  <si>
    <t xml:space="preserve">30/08/2023</t>
  </si>
  <si>
    <t xml:space="preserve">426.99</t>
  </si>
  <si>
    <t xml:space="preserve">ORD-11715</t>
  </si>
  <si>
    <t xml:space="preserve">21-Mar-2024</t>
  </si>
  <si>
    <t xml:space="preserve">3257.76</t>
  </si>
  <si>
    <t xml:space="preserve">ORD-10268</t>
  </si>
  <si>
    <t xml:space="preserve">07-Aug-2025</t>
  </si>
  <si>
    <t xml:space="preserve">2025-08-09</t>
  </si>
  <si>
    <t xml:space="preserve">CUST-1720</t>
  </si>
  <si>
    <t xml:space="preserve">Randy Friedman</t>
  </si>
  <si>
    <t xml:space="preserve">3123.9</t>
  </si>
  <si>
    <t xml:space="preserve">ORD-15176</t>
  </si>
  <si>
    <t xml:space="preserve">17-Jan-2025</t>
  </si>
  <si>
    <t xml:space="preserve">CUST-1294</t>
  </si>
  <si>
    <t xml:space="preserve">Ryan Gonzalez</t>
  </si>
  <si>
    <t xml:space="preserve">75.89</t>
  </si>
  <si>
    <t xml:space="preserve">ORD-14622</t>
  </si>
  <si>
    <t xml:space="preserve">01-21-2024</t>
  </si>
  <si>
    <t xml:space="preserve">24-Jan-2024</t>
  </si>
  <si>
    <t xml:space="preserve">8561.6</t>
  </si>
  <si>
    <t xml:space="preserve">Order Date (Cleaned)</t>
  </si>
  <si>
    <t xml:space="preserve">Customer Name (Filled)</t>
  </si>
  <si>
    <t xml:space="preserve">City (Trimmed/Proper)</t>
  </si>
  <si>
    <t xml:space="preserve">Sales (Numeric)</t>
  </si>
  <si>
    <t xml:space="preserve">Discount (Filled)</t>
  </si>
  <si>
    <t xml:space="preserve">Profit (Rounded)</t>
  </si>
  <si>
    <t xml:space="preserve">Order Priority (Filled)</t>
  </si>
  <si>
    <t xml:space="preserve">Order Value Tier</t>
  </si>
  <si>
    <t xml:space="preserve">Order Count (COUNTIF)</t>
  </si>
  <si>
    <t xml:space="preserve">Total Profit (SUMIF)</t>
  </si>
  <si>
    <t xml:space="preserve">Count</t>
  </si>
  <si>
    <t xml:space="preserve">Avg Profit (SUMIFS/COUNTIFS)</t>
  </si>
  <si>
    <t xml:space="preserve">Small</t>
  </si>
  <si>
    <t xml:space="preserve">Large</t>
  </si>
  <si>
    <t xml:space="preserve">Very Large</t>
  </si>
  <si>
    <t xml:space="preserve">Note: Sample of 500 raw rows shown for formula demonstration. Full 15,200-row cleaned dataset is produced by Python/data_cleaning.py and stored in Dataset/Cleaned_Data.xlsx.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</si>
</sst>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n">
        <v>2</v>
      </c>
      <c r="O2" s="2" t="n">
        <v>0.1</v>
      </c>
      <c r="P2" s="2" t="n">
        <v>31.11</v>
      </c>
      <c r="Q2" s="2" t="n">
        <v>48.55</v>
      </c>
      <c r="R2" s="2" t="s">
        <v>32</v>
      </c>
      <c r="S2" s="2" t="s">
        <v>33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n">
        <v>8</v>
      </c>
      <c r="O3" s="2" t="n">
        <v>0.3</v>
      </c>
      <c r="P3" s="2" t="n">
        <v>-102.9</v>
      </c>
      <c r="Q3" s="2" t="n">
        <v>30.77</v>
      </c>
      <c r="R3" s="2" t="s">
        <v>47</v>
      </c>
      <c r="S3" s="2" t="s">
        <v>33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/>
      <c r="F4" s="2" t="s">
        <v>39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 t="s">
        <v>58</v>
      </c>
      <c r="N4" s="2" t="n">
        <v>3</v>
      </c>
      <c r="O4" s="2" t="n">
        <v>0.3</v>
      </c>
      <c r="P4" s="2" t="n">
        <v>66.88</v>
      </c>
      <c r="Q4" s="2" t="n">
        <v>44.8</v>
      </c>
      <c r="R4" s="2" t="s">
        <v>59</v>
      </c>
      <c r="S4" s="2" t="s">
        <v>60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42</v>
      </c>
      <c r="J5" s="2" t="s">
        <v>43</v>
      </c>
      <c r="K5" s="2" t="s">
        <v>69</v>
      </c>
      <c r="L5" s="2" t="s">
        <v>70</v>
      </c>
      <c r="M5" s="2" t="s">
        <v>71</v>
      </c>
      <c r="N5" s="2" t="n">
        <v>3</v>
      </c>
      <c r="O5" s="2" t="n">
        <v>0.3</v>
      </c>
      <c r="P5" s="2" t="n">
        <v>-4.43</v>
      </c>
      <c r="Q5" s="2" t="n">
        <v>37.99</v>
      </c>
      <c r="R5" s="2" t="s">
        <v>72</v>
      </c>
      <c r="S5" s="2" t="s">
        <v>73</v>
      </c>
    </row>
    <row r="6" customFormat="false" ht="15" hidden="false" customHeight="false" outlineLevel="0" collapsed="false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80</v>
      </c>
      <c r="H6" s="2" t="s">
        <v>81</v>
      </c>
      <c r="I6" s="2" t="s">
        <v>42</v>
      </c>
      <c r="J6" s="2" t="s">
        <v>82</v>
      </c>
      <c r="K6" s="2" t="s">
        <v>83</v>
      </c>
      <c r="L6" s="2" t="s">
        <v>84</v>
      </c>
      <c r="M6" s="2" t="s">
        <v>85</v>
      </c>
      <c r="N6" s="2" t="n">
        <v>7</v>
      </c>
      <c r="O6" s="2" t="n">
        <v>0</v>
      </c>
      <c r="P6" s="2" t="n">
        <v>1973.68</v>
      </c>
      <c r="Q6" s="2" t="n">
        <v>57.6</v>
      </c>
      <c r="R6" s="2" t="s">
        <v>86</v>
      </c>
      <c r="S6" s="2" t="s">
        <v>33</v>
      </c>
    </row>
    <row r="7" customFormat="false" ht="15" hidden="false" customHeight="false" outlineLevel="0" collapsed="false">
      <c r="A7" s="2" t="s">
        <v>87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66</v>
      </c>
      <c r="G7" s="2" t="s">
        <v>92</v>
      </c>
      <c r="H7" s="2" t="s">
        <v>81</v>
      </c>
      <c r="I7" s="2" t="s">
        <v>42</v>
      </c>
      <c r="J7" s="2" t="s">
        <v>93</v>
      </c>
      <c r="K7" s="2" t="s">
        <v>94</v>
      </c>
      <c r="L7" s="2" t="s">
        <v>95</v>
      </c>
      <c r="M7" s="2" t="s">
        <v>96</v>
      </c>
      <c r="N7" s="2" t="n">
        <v>12</v>
      </c>
      <c r="O7" s="2" t="n">
        <v>0</v>
      </c>
      <c r="P7" s="2"/>
      <c r="Q7" s="2" t="n">
        <v>11.11</v>
      </c>
      <c r="R7" s="2" t="s">
        <v>97</v>
      </c>
      <c r="S7" s="2" t="s">
        <v>73</v>
      </c>
    </row>
    <row r="8" customFormat="false" ht="15" hidden="false" customHeight="false" outlineLevel="0" collapsed="false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55</v>
      </c>
      <c r="K8" s="2" t="s">
        <v>69</v>
      </c>
      <c r="L8" s="2" t="s">
        <v>107</v>
      </c>
      <c r="M8" s="2" t="s">
        <v>108</v>
      </c>
      <c r="N8" s="2" t="n">
        <v>7</v>
      </c>
      <c r="O8" s="2" t="n">
        <v>0</v>
      </c>
      <c r="P8" s="2" t="n">
        <v>1214.63</v>
      </c>
      <c r="Q8" s="2" t="n">
        <v>58.08</v>
      </c>
      <c r="R8" s="2" t="s">
        <v>109</v>
      </c>
      <c r="S8" s="2" t="s">
        <v>110</v>
      </c>
    </row>
    <row r="9" customFormat="false" ht="15" hidden="false" customHeight="false" outlineLevel="0" collapsed="false">
      <c r="A9" s="2" t="s">
        <v>111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24</v>
      </c>
      <c r="G9" s="2" t="s">
        <v>116</v>
      </c>
      <c r="H9" s="2" t="s">
        <v>117</v>
      </c>
      <c r="I9" s="2" t="s">
        <v>27</v>
      </c>
      <c r="J9" s="2" t="s">
        <v>82</v>
      </c>
      <c r="K9" s="2" t="s">
        <v>118</v>
      </c>
      <c r="L9" s="2" t="s">
        <v>119</v>
      </c>
      <c r="M9" s="2" t="s">
        <v>120</v>
      </c>
      <c r="N9" s="2" t="n">
        <v>8</v>
      </c>
      <c r="O9" s="2" t="n">
        <v>0</v>
      </c>
      <c r="P9" s="2" t="n">
        <v>1380.59</v>
      </c>
      <c r="Q9" s="2" t="n">
        <v>7.77</v>
      </c>
      <c r="R9" s="2" t="s">
        <v>121</v>
      </c>
      <c r="S9" s="2" t="s">
        <v>73</v>
      </c>
    </row>
    <row r="10" customFormat="false" ht="15" hidden="false" customHeight="false" outlineLevel="0" collapsed="false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39</v>
      </c>
      <c r="G10" s="2" t="s">
        <v>127</v>
      </c>
      <c r="H10" s="2" t="s">
        <v>128</v>
      </c>
      <c r="I10" s="2" t="s">
        <v>42</v>
      </c>
      <c r="J10" s="2" t="s">
        <v>129</v>
      </c>
      <c r="K10" s="2" t="s">
        <v>130</v>
      </c>
      <c r="L10" s="2" t="s">
        <v>131</v>
      </c>
      <c r="M10" s="2" t="s">
        <v>132</v>
      </c>
      <c r="N10" s="2" t="n">
        <v>9</v>
      </c>
      <c r="O10" s="2" t="n">
        <v>0</v>
      </c>
      <c r="P10" s="2" t="n">
        <v>19.56</v>
      </c>
      <c r="Q10" s="2" t="n">
        <v>8.14</v>
      </c>
      <c r="R10" s="2" t="s">
        <v>133</v>
      </c>
      <c r="S10" s="2" t="s">
        <v>33</v>
      </c>
    </row>
    <row r="11" customFormat="false" ht="15" hidden="false" customHeight="false" outlineLevel="0" collapsed="false">
      <c r="A11" s="2" t="s">
        <v>134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24</v>
      </c>
      <c r="G11" s="2" t="s">
        <v>139</v>
      </c>
      <c r="H11" s="2" t="s">
        <v>140</v>
      </c>
      <c r="I11" s="2" t="s">
        <v>54</v>
      </c>
      <c r="J11" s="2" t="s">
        <v>93</v>
      </c>
      <c r="K11" s="2" t="s">
        <v>141</v>
      </c>
      <c r="L11" s="2" t="s">
        <v>142</v>
      </c>
      <c r="M11" s="2" t="s">
        <v>143</v>
      </c>
      <c r="N11" s="2" t="n">
        <v>3</v>
      </c>
      <c r="O11" s="2" t="n">
        <v>0.1</v>
      </c>
      <c r="P11" s="2" t="n">
        <v>27.54</v>
      </c>
      <c r="Q11" s="2" t="n">
        <v>4.63</v>
      </c>
      <c r="R11" s="2" t="s">
        <v>59</v>
      </c>
      <c r="S11" s="2" t="s">
        <v>110</v>
      </c>
    </row>
    <row r="12" customFormat="false" ht="15" hidden="false" customHeight="false" outlineLevel="0" collapsed="false">
      <c r="A12" s="2" t="s">
        <v>144</v>
      </c>
      <c r="B12" s="2" t="s">
        <v>145</v>
      </c>
      <c r="C12" s="2" t="s">
        <v>146</v>
      </c>
      <c r="D12" s="2" t="s">
        <v>147</v>
      </c>
      <c r="E12" s="2" t="s">
        <v>148</v>
      </c>
      <c r="F12" s="2" t="s">
        <v>149</v>
      </c>
      <c r="G12" s="2" t="s">
        <v>150</v>
      </c>
      <c r="H12" s="2" t="s">
        <v>151</v>
      </c>
      <c r="I12" s="2" t="s">
        <v>27</v>
      </c>
      <c r="J12" s="2" t="s">
        <v>93</v>
      </c>
      <c r="K12" s="2" t="s">
        <v>94</v>
      </c>
      <c r="L12" s="2" t="s">
        <v>152</v>
      </c>
      <c r="M12" s="2" t="s">
        <v>153</v>
      </c>
      <c r="N12" s="2" t="n">
        <v>1</v>
      </c>
      <c r="O12" s="2" t="n">
        <v>0.5</v>
      </c>
      <c r="P12" s="2" t="n">
        <v>-5.2</v>
      </c>
      <c r="Q12" s="2" t="n">
        <v>37.44</v>
      </c>
      <c r="R12" s="2" t="s">
        <v>72</v>
      </c>
      <c r="S12" s="2" t="s">
        <v>33</v>
      </c>
    </row>
    <row r="13" customFormat="false" ht="15" hidden="false" customHeight="false" outlineLevel="0" collapsed="false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24</v>
      </c>
      <c r="G13" s="2" t="s">
        <v>159</v>
      </c>
      <c r="H13" s="2" t="s">
        <v>160</v>
      </c>
      <c r="I13" s="2" t="s">
        <v>27</v>
      </c>
      <c r="J13" s="2" t="s">
        <v>43</v>
      </c>
      <c r="K13" s="2" t="s">
        <v>69</v>
      </c>
      <c r="L13" s="2" t="s">
        <v>107</v>
      </c>
      <c r="M13" s="2" t="s">
        <v>161</v>
      </c>
      <c r="N13" s="2" t="n">
        <v>9</v>
      </c>
      <c r="O13" s="2" t="n">
        <v>0</v>
      </c>
      <c r="P13" s="2" t="n">
        <v>360.56</v>
      </c>
      <c r="Q13" s="2" t="n">
        <v>37.53</v>
      </c>
      <c r="R13" s="2" t="s">
        <v>162</v>
      </c>
      <c r="S13" s="2" t="s">
        <v>110</v>
      </c>
    </row>
    <row r="14" customFormat="false" ht="15" hidden="false" customHeight="false" outlineLevel="0" collapsed="false">
      <c r="A14" s="2" t="s">
        <v>163</v>
      </c>
      <c r="B14" s="2" t="s">
        <v>164</v>
      </c>
      <c r="C14" s="2" t="s">
        <v>165</v>
      </c>
      <c r="D14" s="2" t="s">
        <v>166</v>
      </c>
      <c r="E14" s="2" t="s">
        <v>167</v>
      </c>
      <c r="F14" s="2" t="s">
        <v>24</v>
      </c>
      <c r="G14" s="2" t="s">
        <v>168</v>
      </c>
      <c r="H14" s="2" t="s">
        <v>169</v>
      </c>
      <c r="I14" s="2" t="s">
        <v>106</v>
      </c>
      <c r="J14" s="2" t="s">
        <v>93</v>
      </c>
      <c r="K14" s="2" t="s">
        <v>170</v>
      </c>
      <c r="L14" s="2" t="s">
        <v>171</v>
      </c>
      <c r="M14" s="2" t="s">
        <v>172</v>
      </c>
      <c r="N14" s="2" t="n">
        <v>12</v>
      </c>
      <c r="O14" s="2" t="n">
        <v>0.1</v>
      </c>
      <c r="P14" s="2" t="n">
        <v>19.16</v>
      </c>
      <c r="Q14" s="2" t="n">
        <v>6.82</v>
      </c>
      <c r="R14" s="2" t="s">
        <v>173</v>
      </c>
      <c r="S14" s="2" t="s">
        <v>33</v>
      </c>
    </row>
    <row r="15" customFormat="false" ht="15" hidden="false" customHeight="false" outlineLevel="0" collapsed="false">
      <c r="A15" s="2" t="s">
        <v>174</v>
      </c>
      <c r="B15" s="2" t="s">
        <v>175</v>
      </c>
      <c r="C15" s="2" t="s">
        <v>176</v>
      </c>
      <c r="D15" s="2" t="s">
        <v>177</v>
      </c>
      <c r="E15" s="2" t="s">
        <v>178</v>
      </c>
      <c r="F15" s="2" t="s">
        <v>179</v>
      </c>
      <c r="G15" s="2" t="s">
        <v>104</v>
      </c>
      <c r="H15" s="2" t="s">
        <v>105</v>
      </c>
      <c r="I15" s="2" t="s">
        <v>106</v>
      </c>
      <c r="J15" s="2" t="s">
        <v>129</v>
      </c>
      <c r="K15" s="2" t="s">
        <v>141</v>
      </c>
      <c r="L15" s="2" t="s">
        <v>142</v>
      </c>
      <c r="M15" s="2" t="s">
        <v>180</v>
      </c>
      <c r="N15" s="2" t="n">
        <v>6</v>
      </c>
      <c r="O15" s="2"/>
      <c r="P15" s="2" t="n">
        <v>31.08</v>
      </c>
      <c r="Q15" s="2" t="n">
        <v>58.29</v>
      </c>
      <c r="R15" s="2" t="s">
        <v>181</v>
      </c>
      <c r="S15" s="2" t="s">
        <v>60</v>
      </c>
    </row>
    <row r="16" customFormat="false" ht="15" hidden="false" customHeight="false" outlineLevel="0" collapsed="false">
      <c r="A16" s="2" t="s">
        <v>182</v>
      </c>
      <c r="B16" s="2" t="s">
        <v>183</v>
      </c>
      <c r="C16" s="2" t="s">
        <v>184</v>
      </c>
      <c r="D16" s="2" t="s">
        <v>185</v>
      </c>
      <c r="E16" s="2" t="s">
        <v>186</v>
      </c>
      <c r="F16" s="2" t="s">
        <v>149</v>
      </c>
      <c r="G16" s="2" t="s">
        <v>187</v>
      </c>
      <c r="H16" s="2" t="s">
        <v>151</v>
      </c>
      <c r="I16" s="2" t="s">
        <v>27</v>
      </c>
      <c r="J16" s="2" t="s">
        <v>188</v>
      </c>
      <c r="K16" s="2" t="s">
        <v>44</v>
      </c>
      <c r="L16" s="2" t="s">
        <v>45</v>
      </c>
      <c r="M16" s="2" t="s">
        <v>189</v>
      </c>
      <c r="N16" s="2" t="n">
        <v>3</v>
      </c>
      <c r="O16" s="2" t="n">
        <v>0</v>
      </c>
      <c r="P16" s="2" t="n">
        <v>293.05</v>
      </c>
      <c r="Q16" s="2" t="n">
        <v>38.99</v>
      </c>
      <c r="R16" s="2" t="s">
        <v>190</v>
      </c>
      <c r="S16" s="2" t="s">
        <v>110</v>
      </c>
    </row>
    <row r="17" customFormat="false" ht="15" hidden="false" customHeight="false" outlineLevel="0" collapsed="false">
      <c r="A17" s="2" t="s">
        <v>191</v>
      </c>
      <c r="B17" s="2" t="s">
        <v>192</v>
      </c>
      <c r="C17" s="2" t="s">
        <v>193</v>
      </c>
      <c r="D17" s="2" t="s">
        <v>194</v>
      </c>
      <c r="E17" s="2" t="s">
        <v>195</v>
      </c>
      <c r="F17" s="2" t="s">
        <v>196</v>
      </c>
      <c r="G17" s="2" t="s">
        <v>197</v>
      </c>
      <c r="H17" s="2" t="s">
        <v>198</v>
      </c>
      <c r="I17" s="2" t="s">
        <v>106</v>
      </c>
      <c r="J17" s="2" t="s">
        <v>93</v>
      </c>
      <c r="K17" s="2" t="s">
        <v>199</v>
      </c>
      <c r="L17" s="2" t="s">
        <v>200</v>
      </c>
      <c r="M17" s="2" t="s">
        <v>201</v>
      </c>
      <c r="N17" s="2" t="n">
        <v>2</v>
      </c>
      <c r="O17" s="2" t="n">
        <v>0.15</v>
      </c>
      <c r="P17" s="2" t="n">
        <v>5.17</v>
      </c>
      <c r="Q17" s="2" t="n">
        <v>43.94</v>
      </c>
      <c r="R17" s="2" t="s">
        <v>202</v>
      </c>
      <c r="S17" s="2" t="s">
        <v>73</v>
      </c>
    </row>
    <row r="18" customFormat="false" ht="15" hidden="false" customHeight="false" outlineLevel="0" collapsed="false">
      <c r="A18" s="2" t="s">
        <v>203</v>
      </c>
      <c r="B18" s="2" t="s">
        <v>204</v>
      </c>
      <c r="C18" s="2" t="s">
        <v>205</v>
      </c>
      <c r="D18" s="2" t="s">
        <v>206</v>
      </c>
      <c r="E18" s="2" t="s">
        <v>207</v>
      </c>
      <c r="F18" s="2" t="s">
        <v>39</v>
      </c>
      <c r="G18" s="2" t="s">
        <v>208</v>
      </c>
      <c r="H18" s="2" t="s">
        <v>209</v>
      </c>
      <c r="I18" s="2" t="s">
        <v>27</v>
      </c>
      <c r="J18" s="2" t="s">
        <v>129</v>
      </c>
      <c r="K18" s="2" t="s">
        <v>94</v>
      </c>
      <c r="L18" s="2" t="s">
        <v>210</v>
      </c>
      <c r="M18" s="2" t="s">
        <v>211</v>
      </c>
      <c r="N18" s="2" t="n">
        <v>7</v>
      </c>
      <c r="O18" s="2" t="n">
        <v>0.5</v>
      </c>
      <c r="P18" s="2" t="n">
        <v>-29.59</v>
      </c>
      <c r="Q18" s="2" t="n">
        <v>56.2</v>
      </c>
      <c r="R18" s="2" t="s">
        <v>86</v>
      </c>
      <c r="S18" s="2" t="s">
        <v>110</v>
      </c>
    </row>
    <row r="19" customFormat="false" ht="15" hidden="false" customHeight="false" outlineLevel="0" collapsed="false">
      <c r="A19" s="2" t="s">
        <v>212</v>
      </c>
      <c r="B19" s="2" t="s">
        <v>213</v>
      </c>
      <c r="C19" s="2" t="s">
        <v>214</v>
      </c>
      <c r="D19" s="2" t="s">
        <v>215</v>
      </c>
      <c r="E19" s="2" t="s">
        <v>216</v>
      </c>
      <c r="F19" s="2" t="s">
        <v>79</v>
      </c>
      <c r="G19" s="2" t="s">
        <v>139</v>
      </c>
      <c r="H19" s="2" t="s">
        <v>140</v>
      </c>
      <c r="I19" s="2" t="s">
        <v>54</v>
      </c>
      <c r="J19" s="2" t="s">
        <v>217</v>
      </c>
      <c r="K19" s="2" t="s">
        <v>130</v>
      </c>
      <c r="L19" s="2" t="s">
        <v>131</v>
      </c>
      <c r="M19" s="2" t="s">
        <v>218</v>
      </c>
      <c r="N19" s="2" t="n">
        <v>8</v>
      </c>
      <c r="O19" s="2" t="n">
        <v>0</v>
      </c>
      <c r="P19" s="2" t="n">
        <v>46.05</v>
      </c>
      <c r="Q19" s="2" t="n">
        <v>4.49</v>
      </c>
      <c r="R19" s="2" t="s">
        <v>86</v>
      </c>
      <c r="S19" s="2" t="s">
        <v>33</v>
      </c>
    </row>
    <row r="20" customFormat="false" ht="15" hidden="false" customHeight="false" outlineLevel="0" collapsed="false">
      <c r="A20" s="2" t="s">
        <v>219</v>
      </c>
      <c r="B20" s="2" t="s">
        <v>220</v>
      </c>
      <c r="C20" s="2" t="s">
        <v>221</v>
      </c>
      <c r="D20" s="2" t="s">
        <v>222</v>
      </c>
      <c r="E20" s="2" t="s">
        <v>223</v>
      </c>
      <c r="F20" s="2" t="s">
        <v>103</v>
      </c>
      <c r="G20" s="2" t="s">
        <v>224</v>
      </c>
      <c r="H20" s="2" t="s">
        <v>225</v>
      </c>
      <c r="I20" s="2" t="s">
        <v>42</v>
      </c>
      <c r="J20" s="2" t="s">
        <v>129</v>
      </c>
      <c r="K20" s="2" t="s">
        <v>170</v>
      </c>
      <c r="L20" s="2" t="s">
        <v>226</v>
      </c>
      <c r="M20" s="2" t="s">
        <v>227</v>
      </c>
      <c r="N20" s="2" t="n">
        <v>9</v>
      </c>
      <c r="O20" s="2" t="n">
        <v>0.2</v>
      </c>
      <c r="P20" s="2" t="n">
        <v>8.53</v>
      </c>
      <c r="Q20" s="2" t="n">
        <v>3.12</v>
      </c>
      <c r="R20" s="2" t="s">
        <v>173</v>
      </c>
      <c r="S20" s="2" t="s">
        <v>33</v>
      </c>
    </row>
    <row r="21" customFormat="false" ht="15" hidden="false" customHeight="false" outlineLevel="0" collapsed="false">
      <c r="A21" s="2" t="s">
        <v>228</v>
      </c>
      <c r="B21" s="2" t="s">
        <v>229</v>
      </c>
      <c r="C21" s="2" t="s">
        <v>230</v>
      </c>
      <c r="D21" s="2" t="s">
        <v>231</v>
      </c>
      <c r="E21" s="2" t="s">
        <v>232</v>
      </c>
      <c r="F21" s="2" t="s">
        <v>196</v>
      </c>
      <c r="G21" s="2" t="s">
        <v>233</v>
      </c>
      <c r="H21" s="2" t="s">
        <v>140</v>
      </c>
      <c r="I21" s="2" t="s">
        <v>54</v>
      </c>
      <c r="J21" s="2" t="s">
        <v>28</v>
      </c>
      <c r="K21" s="2" t="s">
        <v>234</v>
      </c>
      <c r="L21" s="2" t="s">
        <v>235</v>
      </c>
      <c r="M21" s="2" t="s">
        <v>236</v>
      </c>
      <c r="N21" s="2" t="n">
        <v>11</v>
      </c>
      <c r="O21" s="2" t="n">
        <v>0</v>
      </c>
      <c r="P21" s="2" t="n">
        <v>743.62</v>
      </c>
      <c r="Q21" s="2" t="n">
        <v>10.44</v>
      </c>
      <c r="R21" s="2" t="s">
        <v>72</v>
      </c>
      <c r="S21" s="2" t="s">
        <v>33</v>
      </c>
    </row>
    <row r="22" customFormat="false" ht="15" hidden="false" customHeight="false" outlineLevel="0" collapsed="false">
      <c r="A22" s="2" t="s">
        <v>237</v>
      </c>
      <c r="B22" s="2" t="s">
        <v>238</v>
      </c>
      <c r="C22" s="2" t="s">
        <v>239</v>
      </c>
      <c r="D22" s="2" t="s">
        <v>240</v>
      </c>
      <c r="E22" s="2" t="s">
        <v>241</v>
      </c>
      <c r="F22" s="2" t="s">
        <v>149</v>
      </c>
      <c r="G22" s="2" t="s">
        <v>242</v>
      </c>
      <c r="H22" s="2" t="s">
        <v>243</v>
      </c>
      <c r="I22" s="2" t="s">
        <v>54</v>
      </c>
      <c r="J22" s="2" t="s">
        <v>244</v>
      </c>
      <c r="K22" s="2" t="s">
        <v>69</v>
      </c>
      <c r="L22" s="2" t="s">
        <v>70</v>
      </c>
      <c r="M22" s="2" t="s">
        <v>245</v>
      </c>
      <c r="N22" s="2" t="n">
        <v>11</v>
      </c>
      <c r="O22" s="2" t="n">
        <v>0.5</v>
      </c>
      <c r="P22" s="2" t="n">
        <v>-9.58</v>
      </c>
      <c r="Q22" s="2" t="n">
        <v>5.4</v>
      </c>
      <c r="R22" s="2" t="s">
        <v>133</v>
      </c>
      <c r="S22" s="2" t="s">
        <v>60</v>
      </c>
    </row>
    <row r="23" customFormat="false" ht="15" hidden="false" customHeight="false" outlineLevel="0" collapsed="false">
      <c r="A23" s="2" t="s">
        <v>246</v>
      </c>
      <c r="B23" s="2" t="s">
        <v>247</v>
      </c>
      <c r="C23" s="2" t="s">
        <v>248</v>
      </c>
      <c r="D23" s="2" t="s">
        <v>249</v>
      </c>
      <c r="E23" s="2" t="s">
        <v>250</v>
      </c>
      <c r="F23" s="2" t="s">
        <v>66</v>
      </c>
      <c r="G23" s="2" t="s">
        <v>40</v>
      </c>
      <c r="H23" s="2" t="s">
        <v>41</v>
      </c>
      <c r="I23" s="2" t="s">
        <v>42</v>
      </c>
      <c r="J23" s="2" t="s">
        <v>28</v>
      </c>
      <c r="K23" s="2" t="s">
        <v>118</v>
      </c>
      <c r="L23" s="2" t="s">
        <v>251</v>
      </c>
      <c r="M23" s="2" t="s">
        <v>252</v>
      </c>
      <c r="N23" s="2" t="n">
        <v>2</v>
      </c>
      <c r="O23" s="2" t="n">
        <v>0.3</v>
      </c>
      <c r="P23" s="2" t="n">
        <v>-5.12</v>
      </c>
      <c r="Q23" s="2" t="n">
        <v>50.37</v>
      </c>
      <c r="R23" s="2" t="s">
        <v>190</v>
      </c>
      <c r="S23" s="2" t="s">
        <v>110</v>
      </c>
    </row>
    <row r="24" customFormat="false" ht="15" hidden="false" customHeight="false" outlineLevel="0" collapsed="false">
      <c r="A24" s="2" t="s">
        <v>253</v>
      </c>
      <c r="B24" s="2" t="s">
        <v>254</v>
      </c>
      <c r="C24" s="2" t="s">
        <v>255</v>
      </c>
      <c r="D24" s="2" t="s">
        <v>256</v>
      </c>
      <c r="E24" s="2" t="s">
        <v>257</v>
      </c>
      <c r="F24" s="2" t="s">
        <v>39</v>
      </c>
      <c r="G24" s="2" t="s">
        <v>258</v>
      </c>
      <c r="H24" s="2" t="s">
        <v>259</v>
      </c>
      <c r="I24" s="2" t="s">
        <v>106</v>
      </c>
      <c r="J24" s="2" t="s">
        <v>28</v>
      </c>
      <c r="K24" s="2" t="s">
        <v>118</v>
      </c>
      <c r="L24" s="2" t="s">
        <v>260</v>
      </c>
      <c r="M24" s="2" t="s">
        <v>261</v>
      </c>
      <c r="N24" s="2" t="n">
        <v>12</v>
      </c>
      <c r="O24" s="2" t="n">
        <v>0.5</v>
      </c>
      <c r="P24" s="2" t="n">
        <v>-2067.26</v>
      </c>
      <c r="Q24" s="2" t="n">
        <v>15.82</v>
      </c>
      <c r="R24" s="2" t="s">
        <v>202</v>
      </c>
      <c r="S24" s="2" t="s">
        <v>33</v>
      </c>
    </row>
    <row r="25" customFormat="false" ht="15" hidden="false" customHeight="false" outlineLevel="0" collapsed="false">
      <c r="A25" s="2" t="s">
        <v>262</v>
      </c>
      <c r="B25" s="2" t="s">
        <v>263</v>
      </c>
      <c r="C25" s="2" t="s">
        <v>264</v>
      </c>
      <c r="D25" s="2" t="s">
        <v>265</v>
      </c>
      <c r="E25" s="2" t="s">
        <v>266</v>
      </c>
      <c r="F25" s="2" t="s">
        <v>267</v>
      </c>
      <c r="G25" s="2" t="s">
        <v>268</v>
      </c>
      <c r="H25" s="2" t="s">
        <v>259</v>
      </c>
      <c r="I25" s="2" t="s">
        <v>106</v>
      </c>
      <c r="J25" s="2" t="s">
        <v>93</v>
      </c>
      <c r="K25" s="2" t="s">
        <v>141</v>
      </c>
      <c r="L25" s="2" t="s">
        <v>269</v>
      </c>
      <c r="M25" s="2" t="s">
        <v>270</v>
      </c>
      <c r="N25" s="2" t="n">
        <v>11</v>
      </c>
      <c r="O25" s="2" t="n">
        <v>0.3</v>
      </c>
      <c r="P25" s="2" t="n">
        <v>-4.48</v>
      </c>
      <c r="Q25" s="2" t="n">
        <v>12.5</v>
      </c>
      <c r="R25" s="2" t="s">
        <v>32</v>
      </c>
      <c r="S25" s="2" t="s">
        <v>110</v>
      </c>
    </row>
    <row r="26" customFormat="false" ht="15" hidden="false" customHeight="false" outlineLevel="0" collapsed="false">
      <c r="A26" s="2" t="s">
        <v>271</v>
      </c>
      <c r="B26" s="2" t="s">
        <v>272</v>
      </c>
      <c r="C26" s="2" t="s">
        <v>273</v>
      </c>
      <c r="D26" s="2" t="s">
        <v>274</v>
      </c>
      <c r="E26" s="2" t="s">
        <v>275</v>
      </c>
      <c r="F26" s="2" t="s">
        <v>149</v>
      </c>
      <c r="G26" s="2" t="s">
        <v>276</v>
      </c>
      <c r="H26" s="2" t="s">
        <v>26</v>
      </c>
      <c r="I26" s="2" t="s">
        <v>27</v>
      </c>
      <c r="J26" s="2" t="s">
        <v>43</v>
      </c>
      <c r="K26" s="2" t="s">
        <v>277</v>
      </c>
      <c r="L26" s="2" t="s">
        <v>278</v>
      </c>
      <c r="M26" s="2" t="s">
        <v>279</v>
      </c>
      <c r="N26" s="2" t="n">
        <v>9</v>
      </c>
      <c r="O26" s="2" t="n">
        <v>0</v>
      </c>
      <c r="P26" s="2" t="n">
        <v>477.24</v>
      </c>
      <c r="Q26" s="2" t="n">
        <v>3.22</v>
      </c>
      <c r="R26" s="2" t="s">
        <v>190</v>
      </c>
      <c r="S26" s="2" t="s">
        <v>73</v>
      </c>
    </row>
    <row r="27" customFormat="false" ht="15" hidden="false" customHeight="false" outlineLevel="0" collapsed="false">
      <c r="A27" s="2" t="s">
        <v>280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66</v>
      </c>
      <c r="G27" s="2" t="s">
        <v>285</v>
      </c>
      <c r="H27" s="2" t="s">
        <v>286</v>
      </c>
      <c r="I27" s="2" t="s">
        <v>54</v>
      </c>
      <c r="J27" s="2" t="s">
        <v>82</v>
      </c>
      <c r="K27" s="2" t="s">
        <v>234</v>
      </c>
      <c r="L27" s="2" t="s">
        <v>235</v>
      </c>
      <c r="M27" s="2" t="s">
        <v>287</v>
      </c>
      <c r="N27" s="2" t="n">
        <v>4</v>
      </c>
      <c r="O27" s="2" t="n">
        <v>0.4</v>
      </c>
      <c r="P27" s="2" t="n">
        <v>-642.87</v>
      </c>
      <c r="Q27" s="2" t="n">
        <v>39.79</v>
      </c>
      <c r="R27" s="2" t="s">
        <v>72</v>
      </c>
      <c r="S27" s="2" t="s">
        <v>110</v>
      </c>
    </row>
    <row r="28" customFormat="false" ht="15" hidden="false" customHeight="false" outlineLevel="0" collapsed="false">
      <c r="A28" s="2" t="s">
        <v>288</v>
      </c>
      <c r="B28" s="2" t="s">
        <v>289</v>
      </c>
      <c r="C28" s="2" t="s">
        <v>164</v>
      </c>
      <c r="D28" s="2" t="s">
        <v>290</v>
      </c>
      <c r="E28" s="2" t="s">
        <v>291</v>
      </c>
      <c r="F28" s="2" t="s">
        <v>24</v>
      </c>
      <c r="G28" s="2" t="s">
        <v>104</v>
      </c>
      <c r="H28" s="2" t="s">
        <v>105</v>
      </c>
      <c r="I28" s="2" t="s">
        <v>106</v>
      </c>
      <c r="J28" s="2" t="s">
        <v>82</v>
      </c>
      <c r="K28" s="2" t="s">
        <v>118</v>
      </c>
      <c r="L28" s="2" t="s">
        <v>260</v>
      </c>
      <c r="M28" s="2" t="s">
        <v>292</v>
      </c>
      <c r="N28" s="2" t="n">
        <v>7</v>
      </c>
      <c r="O28" s="2" t="n">
        <v>0</v>
      </c>
      <c r="P28" s="2" t="n">
        <v>1300.2</v>
      </c>
      <c r="Q28" s="2" t="n">
        <v>48.16</v>
      </c>
      <c r="R28" s="2" t="s">
        <v>133</v>
      </c>
      <c r="S28" s="2" t="s">
        <v>73</v>
      </c>
    </row>
    <row r="29" customFormat="false" ht="15" hidden="false" customHeight="false" outlineLevel="0" collapsed="false">
      <c r="A29" s="2" t="s">
        <v>293</v>
      </c>
      <c r="B29" s="2" t="s">
        <v>294</v>
      </c>
      <c r="C29" s="2" t="s">
        <v>295</v>
      </c>
      <c r="D29" s="2" t="s">
        <v>296</v>
      </c>
      <c r="E29" s="2" t="s">
        <v>297</v>
      </c>
      <c r="F29" s="2" t="s">
        <v>149</v>
      </c>
      <c r="G29" s="2" t="s">
        <v>298</v>
      </c>
      <c r="H29" s="2" t="s">
        <v>299</v>
      </c>
      <c r="I29" s="2" t="s">
        <v>42</v>
      </c>
      <c r="J29" s="2" t="s">
        <v>43</v>
      </c>
      <c r="K29" s="2" t="s">
        <v>44</v>
      </c>
      <c r="L29" s="2" t="s">
        <v>300</v>
      </c>
      <c r="M29" s="2" t="s">
        <v>301</v>
      </c>
      <c r="N29" s="2" t="n">
        <v>9</v>
      </c>
      <c r="O29" s="2" t="n">
        <v>0.1</v>
      </c>
      <c r="P29" s="2" t="n">
        <v>155.03</v>
      </c>
      <c r="Q29" s="2" t="n">
        <v>7.05</v>
      </c>
      <c r="R29" s="2" t="s">
        <v>72</v>
      </c>
      <c r="S29" s="2" t="s">
        <v>33</v>
      </c>
    </row>
    <row r="30" customFormat="false" ht="15" hidden="false" customHeight="false" outlineLevel="0" collapsed="false">
      <c r="A30" s="2" t="s">
        <v>302</v>
      </c>
      <c r="B30" s="2" t="s">
        <v>303</v>
      </c>
      <c r="C30" s="2" t="s">
        <v>304</v>
      </c>
      <c r="D30" s="2" t="s">
        <v>305</v>
      </c>
      <c r="E30" s="2" t="s">
        <v>306</v>
      </c>
      <c r="F30" s="2" t="s">
        <v>79</v>
      </c>
      <c r="G30" s="2" t="s">
        <v>298</v>
      </c>
      <c r="H30" s="2" t="s">
        <v>299</v>
      </c>
      <c r="I30" s="2" t="s">
        <v>42</v>
      </c>
      <c r="J30" s="2" t="s">
        <v>43</v>
      </c>
      <c r="K30" s="2" t="s">
        <v>56</v>
      </c>
      <c r="L30" s="2" t="s">
        <v>307</v>
      </c>
      <c r="M30" s="2" t="s">
        <v>308</v>
      </c>
      <c r="N30" s="2" t="n">
        <v>2</v>
      </c>
      <c r="O30" s="2" t="n">
        <v>0.4</v>
      </c>
      <c r="P30" s="2" t="n">
        <v>-135.85</v>
      </c>
      <c r="Q30" s="2" t="n">
        <v>28.96</v>
      </c>
      <c r="R30" s="2" t="s">
        <v>86</v>
      </c>
      <c r="S30" s="2" t="s">
        <v>33</v>
      </c>
    </row>
    <row r="31" customFormat="false" ht="15" hidden="false" customHeight="false" outlineLevel="0" collapsed="false">
      <c r="A31" s="2" t="s">
        <v>309</v>
      </c>
      <c r="B31" s="2" t="s">
        <v>310</v>
      </c>
      <c r="C31" s="2" t="s">
        <v>311</v>
      </c>
      <c r="D31" s="2" t="s">
        <v>312</v>
      </c>
      <c r="E31" s="2" t="s">
        <v>313</v>
      </c>
      <c r="F31" s="2" t="s">
        <v>24</v>
      </c>
      <c r="G31" s="2" t="s">
        <v>314</v>
      </c>
      <c r="H31" s="2" t="s">
        <v>315</v>
      </c>
      <c r="I31" s="2" t="s">
        <v>54</v>
      </c>
      <c r="J31" s="2" t="s">
        <v>129</v>
      </c>
      <c r="K31" s="2" t="s">
        <v>170</v>
      </c>
      <c r="L31" s="2" t="s">
        <v>226</v>
      </c>
      <c r="M31" s="2" t="s">
        <v>316</v>
      </c>
      <c r="N31" s="2" t="n">
        <v>8</v>
      </c>
      <c r="O31" s="2" t="n">
        <v>0</v>
      </c>
      <c r="P31" s="2" t="n">
        <v>101.19</v>
      </c>
      <c r="Q31" s="2" t="n">
        <v>52.21</v>
      </c>
      <c r="R31" s="2" t="s">
        <v>133</v>
      </c>
      <c r="S31" s="2" t="s">
        <v>110</v>
      </c>
    </row>
    <row r="32" customFormat="false" ht="15" hidden="false" customHeight="false" outlineLevel="0" collapsed="false">
      <c r="A32" s="2" t="s">
        <v>317</v>
      </c>
      <c r="B32" s="2" t="s">
        <v>318</v>
      </c>
      <c r="C32" s="2" t="s">
        <v>319</v>
      </c>
      <c r="D32" s="2" t="s">
        <v>320</v>
      </c>
      <c r="E32" s="2" t="s">
        <v>321</v>
      </c>
      <c r="F32" s="2" t="s">
        <v>24</v>
      </c>
      <c r="G32" s="2" t="s">
        <v>322</v>
      </c>
      <c r="H32" s="2" t="s">
        <v>117</v>
      </c>
      <c r="I32" s="2" t="s">
        <v>27</v>
      </c>
      <c r="J32" s="2" t="s">
        <v>43</v>
      </c>
      <c r="K32" s="2" t="s">
        <v>277</v>
      </c>
      <c r="L32" s="2" t="s">
        <v>278</v>
      </c>
      <c r="M32" s="2" t="s">
        <v>323</v>
      </c>
      <c r="N32" s="2" t="n">
        <v>8</v>
      </c>
      <c r="O32" s="2" t="n">
        <v>0</v>
      </c>
      <c r="P32" s="2" t="n">
        <v>576.56</v>
      </c>
      <c r="Q32" s="2" t="n">
        <v>23.67</v>
      </c>
      <c r="R32" s="2" t="s">
        <v>324</v>
      </c>
      <c r="S32" s="2" t="s">
        <v>33</v>
      </c>
    </row>
    <row r="33" customFormat="false" ht="15" hidden="false" customHeight="false" outlineLevel="0" collapsed="false">
      <c r="A33" s="2" t="s">
        <v>325</v>
      </c>
      <c r="B33" s="2" t="s">
        <v>326</v>
      </c>
      <c r="C33" s="2" t="s">
        <v>327</v>
      </c>
      <c r="D33" s="2" t="s">
        <v>328</v>
      </c>
      <c r="E33" s="2" t="s">
        <v>329</v>
      </c>
      <c r="F33" s="2" t="s">
        <v>149</v>
      </c>
      <c r="G33" s="2" t="s">
        <v>330</v>
      </c>
      <c r="H33" s="2" t="s">
        <v>243</v>
      </c>
      <c r="I33" s="2" t="s">
        <v>54</v>
      </c>
      <c r="J33" s="2" t="s">
        <v>82</v>
      </c>
      <c r="K33" s="2" t="s">
        <v>118</v>
      </c>
      <c r="L33" s="2" t="s">
        <v>251</v>
      </c>
      <c r="M33" s="2" t="s">
        <v>331</v>
      </c>
      <c r="N33" s="2" t="n">
        <v>4</v>
      </c>
      <c r="O33" s="2" t="n">
        <v>0.4</v>
      </c>
      <c r="P33" s="2"/>
      <c r="Q33" s="2" t="n">
        <v>6.7</v>
      </c>
      <c r="R33" s="2" t="s">
        <v>86</v>
      </c>
      <c r="S33" s="2" t="s">
        <v>60</v>
      </c>
    </row>
    <row r="34" customFormat="false" ht="15" hidden="false" customHeight="false" outlineLevel="0" collapsed="false">
      <c r="A34" s="2" t="s">
        <v>332</v>
      </c>
      <c r="B34" s="2" t="s">
        <v>333</v>
      </c>
      <c r="C34" s="2" t="s">
        <v>334</v>
      </c>
      <c r="D34" s="2" t="s">
        <v>166</v>
      </c>
      <c r="E34" s="2" t="s">
        <v>167</v>
      </c>
      <c r="F34" s="2" t="s">
        <v>196</v>
      </c>
      <c r="G34" s="2" t="s">
        <v>335</v>
      </c>
      <c r="H34" s="2" t="s">
        <v>140</v>
      </c>
      <c r="I34" s="2" t="s">
        <v>54</v>
      </c>
      <c r="J34" s="2" t="s">
        <v>93</v>
      </c>
      <c r="K34" s="2" t="s">
        <v>141</v>
      </c>
      <c r="L34" s="2" t="s">
        <v>142</v>
      </c>
      <c r="M34" s="2" t="s">
        <v>336</v>
      </c>
      <c r="N34" s="2" t="n">
        <v>4</v>
      </c>
      <c r="O34" s="2" t="n">
        <v>0.15</v>
      </c>
      <c r="P34" s="2" t="n">
        <v>11.63</v>
      </c>
      <c r="Q34" s="2" t="n">
        <v>43.44</v>
      </c>
      <c r="R34" s="2" t="s">
        <v>181</v>
      </c>
      <c r="S34" s="2" t="s">
        <v>110</v>
      </c>
    </row>
    <row r="35" customFormat="false" ht="15" hidden="false" customHeight="false" outlineLevel="0" collapsed="false">
      <c r="A35" s="2" t="s">
        <v>337</v>
      </c>
      <c r="B35" s="2" t="s">
        <v>338</v>
      </c>
      <c r="C35" s="2" t="s">
        <v>339</v>
      </c>
      <c r="D35" s="2" t="s">
        <v>340</v>
      </c>
      <c r="E35" s="2" t="s">
        <v>341</v>
      </c>
      <c r="F35" s="2" t="s">
        <v>79</v>
      </c>
      <c r="G35" s="2" t="s">
        <v>342</v>
      </c>
      <c r="H35" s="2" t="s">
        <v>225</v>
      </c>
      <c r="I35" s="2" t="s">
        <v>42</v>
      </c>
      <c r="J35" s="2" t="s">
        <v>343</v>
      </c>
      <c r="K35" s="2" t="s">
        <v>234</v>
      </c>
      <c r="L35" s="2" t="s">
        <v>344</v>
      </c>
      <c r="M35" s="2" t="s">
        <v>345</v>
      </c>
      <c r="N35" s="2" t="n">
        <v>4</v>
      </c>
      <c r="O35" s="2" t="n">
        <v>0.15</v>
      </c>
      <c r="P35" s="2" t="n">
        <v>513.27</v>
      </c>
      <c r="Q35" s="2" t="n">
        <v>16.51</v>
      </c>
      <c r="R35" s="2" t="s">
        <v>86</v>
      </c>
      <c r="S35" s="2" t="s">
        <v>73</v>
      </c>
    </row>
    <row r="36" customFormat="false" ht="15" hidden="false" customHeight="false" outlineLevel="0" collapsed="false">
      <c r="A36" s="2" t="s">
        <v>346</v>
      </c>
      <c r="B36" s="2" t="s">
        <v>347</v>
      </c>
      <c r="C36" s="2" t="s">
        <v>348</v>
      </c>
      <c r="D36" s="2" t="s">
        <v>349</v>
      </c>
      <c r="E36" s="2" t="s">
        <v>350</v>
      </c>
      <c r="F36" s="2" t="s">
        <v>149</v>
      </c>
      <c r="G36" s="2" t="s">
        <v>25</v>
      </c>
      <c r="H36" s="2" t="s">
        <v>26</v>
      </c>
      <c r="I36" s="2" t="s">
        <v>27</v>
      </c>
      <c r="J36" s="2" t="s">
        <v>43</v>
      </c>
      <c r="K36" s="2" t="s">
        <v>44</v>
      </c>
      <c r="L36" s="2" t="s">
        <v>351</v>
      </c>
      <c r="M36" s="2" t="s">
        <v>352</v>
      </c>
      <c r="N36" s="2" t="n">
        <v>7</v>
      </c>
      <c r="O36" s="2" t="n">
        <v>0.5</v>
      </c>
      <c r="P36" s="2" t="n">
        <v>-60.56</v>
      </c>
      <c r="Q36" s="2" t="n">
        <v>41.82</v>
      </c>
      <c r="R36" s="2" t="s">
        <v>109</v>
      </c>
      <c r="S36" s="2" t="s">
        <v>33</v>
      </c>
    </row>
    <row r="37" customFormat="false" ht="15" hidden="false" customHeight="false" outlineLevel="0" collapsed="false">
      <c r="A37" s="2" t="s">
        <v>353</v>
      </c>
      <c r="B37" s="2" t="s">
        <v>354</v>
      </c>
      <c r="C37" s="2" t="s">
        <v>355</v>
      </c>
      <c r="D37" s="2" t="s">
        <v>356</v>
      </c>
      <c r="E37" s="2" t="s">
        <v>357</v>
      </c>
      <c r="F37" s="2" t="s">
        <v>103</v>
      </c>
      <c r="G37" s="2" t="s">
        <v>233</v>
      </c>
      <c r="H37" s="2" t="s">
        <v>140</v>
      </c>
      <c r="I37" s="2" t="s">
        <v>54</v>
      </c>
      <c r="J37" s="2" t="s">
        <v>129</v>
      </c>
      <c r="K37" s="2" t="s">
        <v>94</v>
      </c>
      <c r="L37" s="2" t="s">
        <v>152</v>
      </c>
      <c r="M37" s="2" t="s">
        <v>358</v>
      </c>
      <c r="N37" s="2" t="n">
        <v>10</v>
      </c>
      <c r="O37" s="2" t="n">
        <v>0</v>
      </c>
      <c r="P37" s="2" t="n">
        <v>10.69</v>
      </c>
      <c r="Q37" s="2" t="n">
        <v>6.6</v>
      </c>
      <c r="R37" s="2" t="s">
        <v>72</v>
      </c>
      <c r="S37" s="2" t="s">
        <v>33</v>
      </c>
    </row>
    <row r="38" customFormat="false" ht="15" hidden="false" customHeight="false" outlineLevel="0" collapsed="false">
      <c r="A38" s="2" t="s">
        <v>359</v>
      </c>
      <c r="B38" s="2" t="s">
        <v>360</v>
      </c>
      <c r="C38" s="2" t="s">
        <v>361</v>
      </c>
      <c r="D38" s="2" t="s">
        <v>362</v>
      </c>
      <c r="E38" s="2" t="s">
        <v>363</v>
      </c>
      <c r="F38" s="2" t="s">
        <v>267</v>
      </c>
      <c r="G38" s="2" t="s">
        <v>364</v>
      </c>
      <c r="H38" s="2" t="s">
        <v>365</v>
      </c>
      <c r="I38" s="2" t="s">
        <v>106</v>
      </c>
      <c r="J38" s="2" t="s">
        <v>55</v>
      </c>
      <c r="K38" s="2" t="s">
        <v>44</v>
      </c>
      <c r="L38" s="2" t="s">
        <v>45</v>
      </c>
      <c r="M38" s="2" t="s">
        <v>366</v>
      </c>
      <c r="N38" s="2" t="n">
        <v>3</v>
      </c>
      <c r="O38" s="2" t="n">
        <v>0.2</v>
      </c>
      <c r="P38" s="2" t="n">
        <v>60.1</v>
      </c>
      <c r="Q38" s="2" t="n">
        <v>20.39</v>
      </c>
      <c r="R38" s="2" t="s">
        <v>121</v>
      </c>
      <c r="S38" s="2" t="s">
        <v>60</v>
      </c>
    </row>
    <row r="39" customFormat="false" ht="15" hidden="false" customHeight="false" outlineLevel="0" collapsed="false">
      <c r="A39" s="2" t="s">
        <v>367</v>
      </c>
      <c r="B39" s="2" t="s">
        <v>368</v>
      </c>
      <c r="C39" s="2" t="s">
        <v>369</v>
      </c>
      <c r="D39" s="2" t="s">
        <v>370</v>
      </c>
      <c r="E39" s="2" t="s">
        <v>371</v>
      </c>
      <c r="F39" s="2" t="s">
        <v>39</v>
      </c>
      <c r="G39" s="2" t="s">
        <v>372</v>
      </c>
      <c r="H39" s="2" t="s">
        <v>373</v>
      </c>
      <c r="I39" s="2" t="s">
        <v>27</v>
      </c>
      <c r="J39" s="2" t="s">
        <v>82</v>
      </c>
      <c r="K39" s="2" t="s">
        <v>29</v>
      </c>
      <c r="L39" s="2" t="s">
        <v>374</v>
      </c>
      <c r="M39" s="2" t="s">
        <v>375</v>
      </c>
      <c r="N39" s="2" t="n">
        <v>9</v>
      </c>
      <c r="O39" s="2" t="n">
        <v>0.15</v>
      </c>
      <c r="P39" s="2" t="n">
        <v>681.77</v>
      </c>
      <c r="Q39" s="2" t="n">
        <v>40.2</v>
      </c>
      <c r="R39" s="2" t="s">
        <v>202</v>
      </c>
      <c r="S39" s="2" t="s">
        <v>110</v>
      </c>
    </row>
    <row r="40" customFormat="false" ht="15" hidden="false" customHeight="false" outlineLevel="0" collapsed="false">
      <c r="A40" s="2" t="s">
        <v>376</v>
      </c>
      <c r="B40" s="2" t="s">
        <v>377</v>
      </c>
      <c r="C40" s="2" t="s">
        <v>378</v>
      </c>
      <c r="D40" s="2" t="s">
        <v>379</v>
      </c>
      <c r="E40" s="2" t="s">
        <v>380</v>
      </c>
      <c r="F40" s="2" t="s">
        <v>24</v>
      </c>
      <c r="G40" s="2" t="s">
        <v>330</v>
      </c>
      <c r="H40" s="2" t="s">
        <v>243</v>
      </c>
      <c r="I40" s="2" t="s">
        <v>54</v>
      </c>
      <c r="J40" s="2" t="s">
        <v>28</v>
      </c>
      <c r="K40" s="2" t="s">
        <v>83</v>
      </c>
      <c r="L40" s="2" t="s">
        <v>84</v>
      </c>
      <c r="M40" s="2" t="s">
        <v>381</v>
      </c>
      <c r="N40" s="2" t="n">
        <v>7</v>
      </c>
      <c r="O40" s="2" t="n">
        <v>0.2</v>
      </c>
      <c r="P40" s="2" t="n">
        <v>149.62</v>
      </c>
      <c r="Q40" s="2" t="n">
        <v>8.26</v>
      </c>
      <c r="R40" s="2" t="s">
        <v>181</v>
      </c>
      <c r="S40" s="2" t="s">
        <v>110</v>
      </c>
    </row>
    <row r="41" customFormat="false" ht="15" hidden="false" customHeight="false" outlineLevel="0" collapsed="false">
      <c r="A41" s="2" t="s">
        <v>382</v>
      </c>
      <c r="B41" s="2" t="s">
        <v>383</v>
      </c>
      <c r="C41" s="2" t="s">
        <v>384</v>
      </c>
      <c r="D41" s="2" t="s">
        <v>385</v>
      </c>
      <c r="E41" s="2" t="s">
        <v>386</v>
      </c>
      <c r="F41" s="2" t="s">
        <v>66</v>
      </c>
      <c r="G41" s="2" t="s">
        <v>127</v>
      </c>
      <c r="H41" s="2" t="s">
        <v>128</v>
      </c>
      <c r="I41" s="2" t="s">
        <v>42</v>
      </c>
      <c r="J41" s="2" t="s">
        <v>387</v>
      </c>
      <c r="K41" s="2" t="s">
        <v>388</v>
      </c>
      <c r="L41" s="2" t="s">
        <v>389</v>
      </c>
      <c r="M41" s="2" t="s">
        <v>390</v>
      </c>
      <c r="N41" s="2" t="n">
        <v>1</v>
      </c>
      <c r="O41" s="2" t="n">
        <v>0.15</v>
      </c>
      <c r="P41" s="2" t="n">
        <v>6.53</v>
      </c>
      <c r="Q41" s="2" t="n">
        <v>35.87</v>
      </c>
      <c r="R41" s="2" t="s">
        <v>86</v>
      </c>
      <c r="S41" s="2" t="s">
        <v>110</v>
      </c>
    </row>
    <row r="42" customFormat="false" ht="15" hidden="false" customHeight="false" outlineLevel="0" collapsed="false">
      <c r="A42" s="2" t="s">
        <v>391</v>
      </c>
      <c r="B42" s="2" t="s">
        <v>392</v>
      </c>
      <c r="C42" s="2" t="s">
        <v>393</v>
      </c>
      <c r="D42" s="2" t="s">
        <v>394</v>
      </c>
      <c r="E42" s="2" t="s">
        <v>395</v>
      </c>
      <c r="F42" s="2" t="s">
        <v>149</v>
      </c>
      <c r="G42" s="2" t="s">
        <v>396</v>
      </c>
      <c r="H42" s="2" t="s">
        <v>160</v>
      </c>
      <c r="I42" s="2" t="s">
        <v>27</v>
      </c>
      <c r="J42" s="2" t="s">
        <v>188</v>
      </c>
      <c r="K42" s="2" t="s">
        <v>277</v>
      </c>
      <c r="L42" s="2" t="s">
        <v>397</v>
      </c>
      <c r="M42" s="2" t="s">
        <v>398</v>
      </c>
      <c r="N42" s="2" t="n">
        <v>9</v>
      </c>
      <c r="O42" s="2" t="n">
        <v>0.3</v>
      </c>
      <c r="P42" s="2" t="n">
        <v>-98.04</v>
      </c>
      <c r="Q42" s="2" t="n">
        <v>11.91</v>
      </c>
      <c r="R42" s="2" t="s">
        <v>72</v>
      </c>
      <c r="S42" s="2" t="s">
        <v>33</v>
      </c>
    </row>
    <row r="43" customFormat="false" ht="15" hidden="false" customHeight="false" outlineLevel="0" collapsed="false">
      <c r="A43" s="2" t="s">
        <v>399</v>
      </c>
      <c r="B43" s="2" t="s">
        <v>400</v>
      </c>
      <c r="C43" s="2" t="s">
        <v>401</v>
      </c>
      <c r="D43" s="2" t="s">
        <v>402</v>
      </c>
      <c r="E43" s="2" t="s">
        <v>403</v>
      </c>
      <c r="F43" s="2" t="s">
        <v>149</v>
      </c>
      <c r="G43" s="2" t="s">
        <v>404</v>
      </c>
      <c r="H43" s="2" t="s">
        <v>365</v>
      </c>
      <c r="I43" s="2" t="s">
        <v>106</v>
      </c>
      <c r="J43" s="2" t="s">
        <v>82</v>
      </c>
      <c r="K43" s="2" t="s">
        <v>118</v>
      </c>
      <c r="L43" s="2" t="s">
        <v>260</v>
      </c>
      <c r="M43" s="2" t="s">
        <v>405</v>
      </c>
      <c r="N43" s="2" t="n">
        <v>4</v>
      </c>
      <c r="O43" s="2" t="n">
        <v>0</v>
      </c>
      <c r="P43" s="2" t="n">
        <v>105.73</v>
      </c>
      <c r="Q43" s="2" t="n">
        <v>49.35</v>
      </c>
      <c r="R43" s="2" t="s">
        <v>109</v>
      </c>
      <c r="S43" s="2" t="s">
        <v>73</v>
      </c>
    </row>
    <row r="44" customFormat="false" ht="15" hidden="false" customHeight="false" outlineLevel="0" collapsed="false">
      <c r="A44" s="2" t="s">
        <v>406</v>
      </c>
      <c r="B44" s="2" t="s">
        <v>407</v>
      </c>
      <c r="C44" s="2" t="s">
        <v>408</v>
      </c>
      <c r="D44" s="2" t="s">
        <v>409</v>
      </c>
      <c r="E44" s="2" t="s">
        <v>410</v>
      </c>
      <c r="F44" s="2" t="s">
        <v>179</v>
      </c>
      <c r="G44" s="2" t="s">
        <v>268</v>
      </c>
      <c r="H44" s="2" t="s">
        <v>259</v>
      </c>
      <c r="I44" s="2" t="s">
        <v>106</v>
      </c>
      <c r="J44" s="2" t="s">
        <v>387</v>
      </c>
      <c r="K44" s="2" t="s">
        <v>199</v>
      </c>
      <c r="L44" s="2" t="s">
        <v>200</v>
      </c>
      <c r="M44" s="2" t="s">
        <v>411</v>
      </c>
      <c r="N44" s="2" t="n">
        <v>7</v>
      </c>
      <c r="O44" s="2" t="n">
        <v>0.3</v>
      </c>
      <c r="P44" s="2" t="n">
        <v>-18.73</v>
      </c>
      <c r="Q44" s="2" t="n">
        <v>43.73</v>
      </c>
      <c r="R44" s="2" t="s">
        <v>72</v>
      </c>
      <c r="S44" s="2" t="s">
        <v>110</v>
      </c>
    </row>
    <row r="45" customFormat="false" ht="15" hidden="false" customHeight="false" outlineLevel="0" collapsed="false">
      <c r="A45" s="2" t="s">
        <v>412</v>
      </c>
      <c r="B45" s="2" t="s">
        <v>413</v>
      </c>
      <c r="C45" s="2" t="s">
        <v>414</v>
      </c>
      <c r="D45" s="2" t="s">
        <v>415</v>
      </c>
      <c r="E45" s="2" t="s">
        <v>416</v>
      </c>
      <c r="F45" s="2" t="s">
        <v>39</v>
      </c>
      <c r="G45" s="2" t="s">
        <v>80</v>
      </c>
      <c r="H45" s="2" t="s">
        <v>81</v>
      </c>
      <c r="I45" s="2" t="s">
        <v>42</v>
      </c>
      <c r="J45" s="2" t="s">
        <v>55</v>
      </c>
      <c r="K45" s="2" t="s">
        <v>69</v>
      </c>
      <c r="L45" s="2" t="s">
        <v>417</v>
      </c>
      <c r="M45" s="2" t="s">
        <v>418</v>
      </c>
      <c r="N45" s="2" t="n">
        <v>1</v>
      </c>
      <c r="O45" s="2" t="n">
        <v>0</v>
      </c>
      <c r="P45" s="2" t="n">
        <v>-832.64</v>
      </c>
      <c r="Q45" s="2" t="n">
        <v>53.83</v>
      </c>
      <c r="R45" s="2" t="s">
        <v>72</v>
      </c>
      <c r="S45" s="2" t="s">
        <v>60</v>
      </c>
    </row>
    <row r="46" customFormat="false" ht="15" hidden="false" customHeight="false" outlineLevel="0" collapsed="false">
      <c r="A46" s="2" t="s">
        <v>419</v>
      </c>
      <c r="B46" s="2" t="s">
        <v>420</v>
      </c>
      <c r="C46" s="2" t="s">
        <v>421</v>
      </c>
      <c r="D46" s="2" t="s">
        <v>422</v>
      </c>
      <c r="E46" s="2" t="s">
        <v>423</v>
      </c>
      <c r="F46" s="2" t="s">
        <v>24</v>
      </c>
      <c r="G46" s="2" t="s">
        <v>139</v>
      </c>
      <c r="H46" s="2" t="s">
        <v>140</v>
      </c>
      <c r="I46" s="2" t="s">
        <v>54</v>
      </c>
      <c r="J46" s="2" t="s">
        <v>244</v>
      </c>
      <c r="K46" s="2" t="s">
        <v>69</v>
      </c>
      <c r="L46" s="2" t="s">
        <v>107</v>
      </c>
      <c r="M46" s="2" t="s">
        <v>424</v>
      </c>
      <c r="N46" s="2" t="n">
        <v>11</v>
      </c>
      <c r="O46" s="2" t="n">
        <v>0.15</v>
      </c>
      <c r="P46" s="2" t="n">
        <v>179.29</v>
      </c>
      <c r="Q46" s="2" t="n">
        <v>34.04</v>
      </c>
      <c r="R46" s="2" t="s">
        <v>72</v>
      </c>
      <c r="S46" s="2" t="s">
        <v>33</v>
      </c>
    </row>
    <row r="47" customFormat="false" ht="15" hidden="false" customHeight="false" outlineLevel="0" collapsed="false">
      <c r="A47" s="2" t="s">
        <v>425</v>
      </c>
      <c r="B47" s="2" t="s">
        <v>426</v>
      </c>
      <c r="C47" s="2" t="s">
        <v>427</v>
      </c>
      <c r="D47" s="2" t="s">
        <v>428</v>
      </c>
      <c r="E47" s="2" t="s">
        <v>429</v>
      </c>
      <c r="F47" s="2" t="s">
        <v>79</v>
      </c>
      <c r="G47" s="2" t="s">
        <v>430</v>
      </c>
      <c r="H47" s="2" t="s">
        <v>128</v>
      </c>
      <c r="I47" s="2" t="s">
        <v>42</v>
      </c>
      <c r="J47" s="2" t="s">
        <v>28</v>
      </c>
      <c r="K47" s="2" t="s">
        <v>83</v>
      </c>
      <c r="L47" s="2" t="s">
        <v>431</v>
      </c>
      <c r="M47" s="2" t="s">
        <v>432</v>
      </c>
      <c r="N47" s="2" t="n">
        <v>2</v>
      </c>
      <c r="O47" s="2" t="n">
        <v>0.2</v>
      </c>
      <c r="P47" s="2" t="n">
        <v>11.28</v>
      </c>
      <c r="Q47" s="2" t="n">
        <v>45.8</v>
      </c>
      <c r="R47" s="2" t="s">
        <v>162</v>
      </c>
      <c r="S47" s="2" t="s">
        <v>60</v>
      </c>
    </row>
    <row r="48" customFormat="false" ht="15" hidden="false" customHeight="false" outlineLevel="0" collapsed="false">
      <c r="A48" s="2" t="s">
        <v>433</v>
      </c>
      <c r="B48" s="2" t="s">
        <v>434</v>
      </c>
      <c r="C48" s="2" t="s">
        <v>435</v>
      </c>
      <c r="D48" s="2" t="s">
        <v>436</v>
      </c>
      <c r="E48" s="2" t="s">
        <v>437</v>
      </c>
      <c r="F48" s="2" t="s">
        <v>179</v>
      </c>
      <c r="G48" s="2" t="s">
        <v>438</v>
      </c>
      <c r="H48" s="2" t="s">
        <v>286</v>
      </c>
      <c r="I48" s="2" t="s">
        <v>54</v>
      </c>
      <c r="J48" s="2" t="s">
        <v>55</v>
      </c>
      <c r="K48" s="2" t="s">
        <v>44</v>
      </c>
      <c r="L48" s="2" t="s">
        <v>351</v>
      </c>
      <c r="M48" s="2" t="s">
        <v>439</v>
      </c>
      <c r="N48" s="2" t="n">
        <v>8</v>
      </c>
      <c r="O48" s="2" t="n">
        <v>0.1</v>
      </c>
      <c r="P48" s="2" t="n">
        <v>246.71</v>
      </c>
      <c r="Q48" s="2" t="n">
        <v>8.61</v>
      </c>
      <c r="R48" s="2" t="s">
        <v>440</v>
      </c>
      <c r="S48" s="2" t="s">
        <v>110</v>
      </c>
    </row>
    <row r="49" customFormat="false" ht="15" hidden="false" customHeight="false" outlineLevel="0" collapsed="false">
      <c r="A49" s="2" t="s">
        <v>441</v>
      </c>
      <c r="B49" s="2" t="s">
        <v>442</v>
      </c>
      <c r="C49" s="2" t="s">
        <v>443</v>
      </c>
      <c r="D49" s="2" t="s">
        <v>444</v>
      </c>
      <c r="E49" s="2" t="s">
        <v>445</v>
      </c>
      <c r="F49" s="2" t="s">
        <v>103</v>
      </c>
      <c r="G49" s="2" t="s">
        <v>139</v>
      </c>
      <c r="H49" s="2" t="s">
        <v>140</v>
      </c>
      <c r="I49" s="2" t="s">
        <v>54</v>
      </c>
      <c r="J49" s="2" t="s">
        <v>82</v>
      </c>
      <c r="K49" s="2" t="s">
        <v>118</v>
      </c>
      <c r="L49" s="2" t="s">
        <v>119</v>
      </c>
      <c r="M49" s="2" t="s">
        <v>446</v>
      </c>
      <c r="N49" s="2" t="n">
        <v>5</v>
      </c>
      <c r="O49" s="2" t="n">
        <v>0.3</v>
      </c>
      <c r="P49" s="2" t="n">
        <v>-120.36</v>
      </c>
      <c r="Q49" s="2" t="n">
        <v>36.34</v>
      </c>
      <c r="R49" s="2" t="s">
        <v>202</v>
      </c>
      <c r="S49" s="2" t="s">
        <v>73</v>
      </c>
    </row>
    <row r="50" customFormat="false" ht="15" hidden="false" customHeight="false" outlineLevel="0" collapsed="false">
      <c r="A50" s="2" t="s">
        <v>447</v>
      </c>
      <c r="B50" s="2" t="s">
        <v>448</v>
      </c>
      <c r="C50" s="2" t="s">
        <v>449</v>
      </c>
      <c r="D50" s="2" t="s">
        <v>101</v>
      </c>
      <c r="E50" s="2" t="s">
        <v>102</v>
      </c>
      <c r="F50" s="2" t="s">
        <v>66</v>
      </c>
      <c r="G50" s="2" t="s">
        <v>450</v>
      </c>
      <c r="H50" s="2" t="s">
        <v>259</v>
      </c>
      <c r="I50" s="2" t="s">
        <v>106</v>
      </c>
      <c r="J50" s="2" t="s">
        <v>43</v>
      </c>
      <c r="K50" s="2" t="s">
        <v>69</v>
      </c>
      <c r="L50" s="2" t="s">
        <v>417</v>
      </c>
      <c r="M50" s="2" t="s">
        <v>451</v>
      </c>
      <c r="N50" s="2" t="n">
        <v>2</v>
      </c>
      <c r="O50" s="2" t="n">
        <v>0</v>
      </c>
      <c r="P50" s="2" t="n">
        <v>99.88</v>
      </c>
      <c r="Q50" s="2" t="n">
        <v>26.34</v>
      </c>
      <c r="R50" s="2" t="s">
        <v>72</v>
      </c>
      <c r="S50" s="2" t="s">
        <v>110</v>
      </c>
    </row>
    <row r="51" customFormat="false" ht="15" hidden="false" customHeight="false" outlineLevel="0" collapsed="false">
      <c r="A51" s="2" t="s">
        <v>452</v>
      </c>
      <c r="B51" s="2" t="s">
        <v>453</v>
      </c>
      <c r="C51" s="2" t="s">
        <v>454</v>
      </c>
      <c r="D51" s="2" t="s">
        <v>455</v>
      </c>
      <c r="E51" s="2" t="s">
        <v>456</v>
      </c>
      <c r="F51" s="2" t="s">
        <v>39</v>
      </c>
      <c r="G51" s="2" t="s">
        <v>457</v>
      </c>
      <c r="H51" s="2" t="s">
        <v>151</v>
      </c>
      <c r="I51" s="2" t="s">
        <v>27</v>
      </c>
      <c r="J51" s="2" t="s">
        <v>55</v>
      </c>
      <c r="K51" s="2" t="s">
        <v>56</v>
      </c>
      <c r="L51" s="2" t="s">
        <v>307</v>
      </c>
      <c r="M51" s="2" t="s">
        <v>458</v>
      </c>
      <c r="N51" s="2" t="n">
        <v>4</v>
      </c>
      <c r="O51" s="2" t="n">
        <v>0</v>
      </c>
      <c r="P51" s="2" t="n">
        <v>145.12</v>
      </c>
      <c r="Q51" s="2" t="n">
        <v>50.4</v>
      </c>
      <c r="R51" s="2" t="s">
        <v>324</v>
      </c>
      <c r="S51" s="2" t="s">
        <v>33</v>
      </c>
    </row>
    <row r="52" customFormat="false" ht="15" hidden="false" customHeight="false" outlineLevel="0" collapsed="false">
      <c r="A52" s="2" t="s">
        <v>459</v>
      </c>
      <c r="B52" s="2" t="s">
        <v>460</v>
      </c>
      <c r="C52" s="2" t="s">
        <v>461</v>
      </c>
      <c r="D52" s="2" t="s">
        <v>462</v>
      </c>
      <c r="E52" s="2" t="s">
        <v>463</v>
      </c>
      <c r="F52" s="2" t="s">
        <v>196</v>
      </c>
      <c r="G52" s="2" t="s">
        <v>464</v>
      </c>
      <c r="H52" s="2" t="s">
        <v>299</v>
      </c>
      <c r="I52" s="2" t="s">
        <v>42</v>
      </c>
      <c r="J52" s="2" t="s">
        <v>217</v>
      </c>
      <c r="K52" s="2" t="s">
        <v>388</v>
      </c>
      <c r="L52" s="2" t="s">
        <v>465</v>
      </c>
      <c r="M52" s="2" t="s">
        <v>466</v>
      </c>
      <c r="N52" s="2" t="n">
        <v>5</v>
      </c>
      <c r="O52" s="2" t="n">
        <v>0.5</v>
      </c>
      <c r="P52" s="2" t="n">
        <v>-4.43</v>
      </c>
      <c r="Q52" s="2" t="n">
        <v>29.27</v>
      </c>
      <c r="R52" s="2" t="s">
        <v>133</v>
      </c>
      <c r="S52" s="2" t="s">
        <v>33</v>
      </c>
    </row>
    <row r="53" customFormat="false" ht="15" hidden="false" customHeight="false" outlineLevel="0" collapsed="false">
      <c r="A53" s="2" t="s">
        <v>467</v>
      </c>
      <c r="B53" s="2" t="s">
        <v>468</v>
      </c>
      <c r="C53" s="2" t="s">
        <v>469</v>
      </c>
      <c r="D53" s="2" t="s">
        <v>470</v>
      </c>
      <c r="E53" s="2" t="s">
        <v>471</v>
      </c>
      <c r="F53" s="2" t="s">
        <v>103</v>
      </c>
      <c r="G53" s="2" t="s">
        <v>472</v>
      </c>
      <c r="H53" s="2" t="s">
        <v>68</v>
      </c>
      <c r="I53" s="2" t="s">
        <v>42</v>
      </c>
      <c r="J53" s="2" t="s">
        <v>55</v>
      </c>
      <c r="K53" s="2" t="s">
        <v>56</v>
      </c>
      <c r="L53" s="2" t="s">
        <v>57</v>
      </c>
      <c r="M53" s="2" t="s">
        <v>473</v>
      </c>
      <c r="N53" s="2" t="n">
        <v>8</v>
      </c>
      <c r="O53" s="2" t="n">
        <v>0</v>
      </c>
      <c r="P53" s="2" t="n">
        <v>1462.6</v>
      </c>
      <c r="Q53" s="2" t="n">
        <v>31.39</v>
      </c>
      <c r="R53" s="2" t="s">
        <v>97</v>
      </c>
      <c r="S53" s="2" t="s">
        <v>73</v>
      </c>
    </row>
    <row r="54" customFormat="false" ht="15" hidden="false" customHeight="false" outlineLevel="0" collapsed="false">
      <c r="A54" s="2" t="s">
        <v>474</v>
      </c>
      <c r="B54" s="2" t="s">
        <v>475</v>
      </c>
      <c r="C54" s="2" t="s">
        <v>476</v>
      </c>
      <c r="D54" s="2" t="s">
        <v>477</v>
      </c>
      <c r="E54" s="2" t="s">
        <v>478</v>
      </c>
      <c r="F54" s="2" t="s">
        <v>66</v>
      </c>
      <c r="G54" s="2" t="s">
        <v>479</v>
      </c>
      <c r="H54" s="2" t="s">
        <v>480</v>
      </c>
      <c r="I54" s="2" t="s">
        <v>54</v>
      </c>
      <c r="J54" s="2" t="s">
        <v>82</v>
      </c>
      <c r="K54" s="2" t="s">
        <v>118</v>
      </c>
      <c r="L54" s="2" t="s">
        <v>251</v>
      </c>
      <c r="M54" s="2" t="s">
        <v>481</v>
      </c>
      <c r="N54" s="2" t="n">
        <v>5</v>
      </c>
      <c r="O54" s="2" t="n">
        <v>0</v>
      </c>
      <c r="P54" s="2" t="n">
        <v>802.4</v>
      </c>
      <c r="Q54" s="2" t="n">
        <v>13.31</v>
      </c>
      <c r="R54" s="2" t="s">
        <v>162</v>
      </c>
      <c r="S54" s="2" t="s">
        <v>73</v>
      </c>
    </row>
    <row r="55" customFormat="false" ht="15" hidden="false" customHeight="false" outlineLevel="0" collapsed="false">
      <c r="A55" s="2" t="s">
        <v>482</v>
      </c>
      <c r="B55" s="2" t="s">
        <v>483</v>
      </c>
      <c r="C55" s="2" t="s">
        <v>484</v>
      </c>
      <c r="D55" s="2" t="s">
        <v>485</v>
      </c>
      <c r="E55" s="2" t="s">
        <v>486</v>
      </c>
      <c r="F55" s="2" t="s">
        <v>24</v>
      </c>
      <c r="G55" s="2" t="s">
        <v>487</v>
      </c>
      <c r="H55" s="2" t="s">
        <v>169</v>
      </c>
      <c r="I55" s="2" t="s">
        <v>106</v>
      </c>
      <c r="J55" s="2" t="s">
        <v>93</v>
      </c>
      <c r="K55" s="2" t="s">
        <v>388</v>
      </c>
      <c r="L55" s="2" t="s">
        <v>389</v>
      </c>
      <c r="M55" s="2" t="s">
        <v>488</v>
      </c>
      <c r="N55" s="2" t="n">
        <v>3</v>
      </c>
      <c r="O55" s="2" t="n">
        <v>0.3</v>
      </c>
      <c r="P55" s="2" t="n">
        <v>-0.9</v>
      </c>
      <c r="Q55" s="2" t="n">
        <v>58.66</v>
      </c>
      <c r="R55" s="2" t="s">
        <v>162</v>
      </c>
      <c r="S55" s="2" t="s">
        <v>73</v>
      </c>
    </row>
    <row r="56" customFormat="false" ht="15" hidden="false" customHeight="false" outlineLevel="0" collapsed="false">
      <c r="A56" s="2" t="s">
        <v>489</v>
      </c>
      <c r="B56" s="2" t="s">
        <v>490</v>
      </c>
      <c r="C56" s="2" t="s">
        <v>491</v>
      </c>
      <c r="D56" s="2" t="s">
        <v>492</v>
      </c>
      <c r="E56" s="2" t="s">
        <v>493</v>
      </c>
      <c r="F56" s="2" t="s">
        <v>39</v>
      </c>
      <c r="G56" s="2" t="s">
        <v>494</v>
      </c>
      <c r="H56" s="2" t="s">
        <v>117</v>
      </c>
      <c r="I56" s="2" t="s">
        <v>27</v>
      </c>
      <c r="J56" s="2" t="s">
        <v>82</v>
      </c>
      <c r="K56" s="2" t="s">
        <v>234</v>
      </c>
      <c r="L56" s="2" t="s">
        <v>495</v>
      </c>
      <c r="M56" s="2" t="s">
        <v>496</v>
      </c>
      <c r="N56" s="2" t="n">
        <v>12</v>
      </c>
      <c r="O56" s="2" t="n">
        <v>0</v>
      </c>
      <c r="P56" s="2" t="n">
        <v>445.17</v>
      </c>
      <c r="Q56" s="2" t="n">
        <v>44.05</v>
      </c>
      <c r="R56" s="2" t="s">
        <v>86</v>
      </c>
      <c r="S56" s="2" t="s">
        <v>60</v>
      </c>
    </row>
    <row r="57" customFormat="false" ht="15" hidden="false" customHeight="false" outlineLevel="0" collapsed="false">
      <c r="A57" s="2" t="s">
        <v>497</v>
      </c>
      <c r="B57" s="2" t="s">
        <v>498</v>
      </c>
      <c r="C57" s="2" t="s">
        <v>499</v>
      </c>
      <c r="D57" s="2" t="s">
        <v>500</v>
      </c>
      <c r="E57" s="2" t="s">
        <v>501</v>
      </c>
      <c r="F57" s="2" t="s">
        <v>24</v>
      </c>
      <c r="G57" s="2"/>
      <c r="H57" s="2" t="s">
        <v>209</v>
      </c>
      <c r="I57" s="2" t="s">
        <v>27</v>
      </c>
      <c r="J57" s="2" t="s">
        <v>55</v>
      </c>
      <c r="K57" s="2" t="s">
        <v>69</v>
      </c>
      <c r="L57" s="2" t="s">
        <v>107</v>
      </c>
      <c r="M57" s="2" t="s">
        <v>502</v>
      </c>
      <c r="N57" s="2" t="n">
        <v>5</v>
      </c>
      <c r="O57" s="2" t="n">
        <v>0</v>
      </c>
      <c r="P57" s="2" t="n">
        <v>665.56</v>
      </c>
      <c r="Q57" s="2" t="n">
        <v>26.45</v>
      </c>
      <c r="R57" s="2" t="s">
        <v>162</v>
      </c>
      <c r="S57" s="2" t="s">
        <v>110</v>
      </c>
    </row>
    <row r="58" customFormat="false" ht="15" hidden="false" customHeight="false" outlineLevel="0" collapsed="false">
      <c r="A58" s="2" t="s">
        <v>503</v>
      </c>
      <c r="B58" s="2" t="s">
        <v>504</v>
      </c>
      <c r="C58" s="2" t="s">
        <v>505</v>
      </c>
      <c r="D58" s="2" t="s">
        <v>506</v>
      </c>
      <c r="E58" s="2" t="s">
        <v>507</v>
      </c>
      <c r="F58" s="2" t="s">
        <v>39</v>
      </c>
      <c r="G58" s="2" t="s">
        <v>508</v>
      </c>
      <c r="H58" s="2" t="s">
        <v>480</v>
      </c>
      <c r="I58" s="2" t="s">
        <v>54</v>
      </c>
      <c r="J58" s="2" t="s">
        <v>55</v>
      </c>
      <c r="K58" s="2" t="s">
        <v>56</v>
      </c>
      <c r="L58" s="2" t="s">
        <v>57</v>
      </c>
      <c r="M58" s="2" t="s">
        <v>509</v>
      </c>
      <c r="N58" s="2" t="n">
        <v>9</v>
      </c>
      <c r="O58" s="2"/>
      <c r="P58" s="2" t="n">
        <v>161.92</v>
      </c>
      <c r="Q58" s="2" t="n">
        <v>37.57</v>
      </c>
      <c r="R58" s="2" t="s">
        <v>47</v>
      </c>
      <c r="S58" s="2"/>
    </row>
    <row r="59" customFormat="false" ht="15" hidden="false" customHeight="false" outlineLevel="0" collapsed="false">
      <c r="A59" s="2" t="s">
        <v>510</v>
      </c>
      <c r="B59" s="2" t="s">
        <v>511</v>
      </c>
      <c r="C59" s="2" t="s">
        <v>512</v>
      </c>
      <c r="D59" s="2" t="s">
        <v>513</v>
      </c>
      <c r="E59" s="2" t="s">
        <v>514</v>
      </c>
      <c r="F59" s="2" t="s">
        <v>196</v>
      </c>
      <c r="G59" s="2" t="s">
        <v>404</v>
      </c>
      <c r="H59" s="2" t="s">
        <v>365</v>
      </c>
      <c r="I59" s="2" t="s">
        <v>106</v>
      </c>
      <c r="J59" s="2" t="s">
        <v>387</v>
      </c>
      <c r="K59" s="2" t="s">
        <v>170</v>
      </c>
      <c r="L59" s="2" t="s">
        <v>226</v>
      </c>
      <c r="M59" s="2" t="s">
        <v>515</v>
      </c>
      <c r="N59" s="2" t="n">
        <v>3</v>
      </c>
      <c r="O59" s="2" t="n">
        <v>0.15</v>
      </c>
      <c r="P59" s="2" t="n">
        <v>7.94</v>
      </c>
      <c r="Q59" s="2" t="n">
        <v>25.99</v>
      </c>
      <c r="R59" s="2" t="s">
        <v>72</v>
      </c>
      <c r="S59" s="2" t="s">
        <v>73</v>
      </c>
    </row>
    <row r="60" customFormat="false" ht="15" hidden="false" customHeight="false" outlineLevel="0" collapsed="false">
      <c r="A60" s="2" t="s">
        <v>516</v>
      </c>
      <c r="B60" s="2" t="s">
        <v>517</v>
      </c>
      <c r="C60" s="2" t="s">
        <v>518</v>
      </c>
      <c r="D60" s="2" t="s">
        <v>519</v>
      </c>
      <c r="E60" s="2" t="s">
        <v>520</v>
      </c>
      <c r="F60" s="2" t="s">
        <v>79</v>
      </c>
      <c r="G60" s="2" t="s">
        <v>521</v>
      </c>
      <c r="H60" s="2" t="s">
        <v>373</v>
      </c>
      <c r="I60" s="2" t="s">
        <v>27</v>
      </c>
      <c r="J60" s="2" t="s">
        <v>93</v>
      </c>
      <c r="K60" s="2" t="s">
        <v>130</v>
      </c>
      <c r="L60" s="2" t="s">
        <v>522</v>
      </c>
      <c r="M60" s="2" t="s">
        <v>523</v>
      </c>
      <c r="N60" s="2" t="n">
        <v>7</v>
      </c>
      <c r="O60" s="2" t="n">
        <v>0.5</v>
      </c>
      <c r="P60" s="2" t="n">
        <v>-17.52</v>
      </c>
      <c r="Q60" s="2" t="n">
        <v>18.4</v>
      </c>
      <c r="R60" s="2" t="s">
        <v>190</v>
      </c>
      <c r="S60" s="2" t="s">
        <v>73</v>
      </c>
    </row>
    <row r="61" customFormat="false" ht="15" hidden="false" customHeight="false" outlineLevel="0" collapsed="false">
      <c r="A61" s="2" t="s">
        <v>524</v>
      </c>
      <c r="B61" s="2" t="s">
        <v>525</v>
      </c>
      <c r="C61" s="2" t="s">
        <v>526</v>
      </c>
      <c r="D61" s="2" t="s">
        <v>527</v>
      </c>
      <c r="E61" s="2" t="s">
        <v>528</v>
      </c>
      <c r="F61" s="2" t="s">
        <v>267</v>
      </c>
      <c r="G61" s="2" t="s">
        <v>438</v>
      </c>
      <c r="H61" s="2" t="s">
        <v>286</v>
      </c>
      <c r="I61" s="2" t="s">
        <v>54</v>
      </c>
      <c r="J61" s="2" t="s">
        <v>387</v>
      </c>
      <c r="K61" s="2" t="s">
        <v>199</v>
      </c>
      <c r="L61" s="2" t="s">
        <v>200</v>
      </c>
      <c r="M61" s="2" t="s">
        <v>529</v>
      </c>
      <c r="N61" s="2" t="n">
        <v>11</v>
      </c>
      <c r="O61" s="2" t="n">
        <v>0</v>
      </c>
      <c r="P61" s="2" t="n">
        <v>46.62</v>
      </c>
      <c r="Q61" s="2" t="n">
        <v>22.84</v>
      </c>
      <c r="R61" s="2" t="s">
        <v>72</v>
      </c>
      <c r="S61" s="2" t="s">
        <v>60</v>
      </c>
    </row>
    <row r="62" customFormat="false" ht="15" hidden="false" customHeight="false" outlineLevel="0" collapsed="false">
      <c r="A62" s="2" t="s">
        <v>530</v>
      </c>
      <c r="B62" s="2" t="s">
        <v>531</v>
      </c>
      <c r="C62" s="2" t="s">
        <v>532</v>
      </c>
      <c r="D62" s="2" t="s">
        <v>533</v>
      </c>
      <c r="E62" s="2" t="s">
        <v>534</v>
      </c>
      <c r="F62" s="2" t="s">
        <v>39</v>
      </c>
      <c r="G62" s="2" t="s">
        <v>535</v>
      </c>
      <c r="H62" s="2" t="s">
        <v>198</v>
      </c>
      <c r="I62" s="2" t="s">
        <v>106</v>
      </c>
      <c r="J62" s="2" t="s">
        <v>55</v>
      </c>
      <c r="K62" s="2" t="s">
        <v>56</v>
      </c>
      <c r="L62" s="2" t="s">
        <v>536</v>
      </c>
      <c r="M62" s="2" t="s">
        <v>537</v>
      </c>
      <c r="N62" s="2" t="n">
        <v>1</v>
      </c>
      <c r="O62" s="2" t="n">
        <v>0.2</v>
      </c>
      <c r="P62" s="2" t="n">
        <v>10.86</v>
      </c>
      <c r="Q62" s="2" t="n">
        <v>36.3</v>
      </c>
      <c r="R62" s="2" t="s">
        <v>133</v>
      </c>
      <c r="S62" s="2" t="s">
        <v>110</v>
      </c>
    </row>
    <row r="63" customFormat="false" ht="15" hidden="false" customHeight="false" outlineLevel="0" collapsed="false">
      <c r="A63" s="2" t="s">
        <v>538</v>
      </c>
      <c r="B63" s="2" t="s">
        <v>539</v>
      </c>
      <c r="C63" s="2" t="s">
        <v>540</v>
      </c>
      <c r="D63" s="2" t="s">
        <v>541</v>
      </c>
      <c r="E63" s="2" t="s">
        <v>542</v>
      </c>
      <c r="F63" s="2" t="s">
        <v>196</v>
      </c>
      <c r="G63" s="2" t="s">
        <v>543</v>
      </c>
      <c r="H63" s="2" t="s">
        <v>41</v>
      </c>
      <c r="I63" s="2" t="s">
        <v>42</v>
      </c>
      <c r="J63" s="2" t="s">
        <v>82</v>
      </c>
      <c r="K63" s="2" t="s">
        <v>118</v>
      </c>
      <c r="L63" s="2" t="s">
        <v>260</v>
      </c>
      <c r="M63" s="2" t="s">
        <v>544</v>
      </c>
      <c r="N63" s="2" t="n">
        <v>2</v>
      </c>
      <c r="O63" s="2" t="n">
        <v>0.2</v>
      </c>
      <c r="P63" s="2" t="n">
        <v>83.1</v>
      </c>
      <c r="Q63" s="2" t="n">
        <v>30.85</v>
      </c>
      <c r="R63" s="2" t="s">
        <v>32</v>
      </c>
      <c r="S63" s="2" t="s">
        <v>60</v>
      </c>
    </row>
    <row r="64" customFormat="false" ht="15" hidden="false" customHeight="false" outlineLevel="0" collapsed="false">
      <c r="A64" s="2" t="s">
        <v>545</v>
      </c>
      <c r="B64" s="2" t="s">
        <v>546</v>
      </c>
      <c r="C64" s="2" t="s">
        <v>547</v>
      </c>
      <c r="D64" s="2" t="s">
        <v>548</v>
      </c>
      <c r="E64" s="2" t="s">
        <v>549</v>
      </c>
      <c r="F64" s="2" t="s">
        <v>24</v>
      </c>
      <c r="G64" s="2" t="s">
        <v>40</v>
      </c>
      <c r="H64" s="2" t="s">
        <v>41</v>
      </c>
      <c r="I64" s="2" t="s">
        <v>42</v>
      </c>
      <c r="J64" s="2" t="s">
        <v>387</v>
      </c>
      <c r="K64" s="2" t="s">
        <v>94</v>
      </c>
      <c r="L64" s="2" t="s">
        <v>210</v>
      </c>
      <c r="M64" s="2" t="s">
        <v>550</v>
      </c>
      <c r="N64" s="2" t="n">
        <v>3</v>
      </c>
      <c r="O64" s="2" t="n">
        <v>0</v>
      </c>
      <c r="P64" s="2" t="n">
        <v>8.32</v>
      </c>
      <c r="Q64" s="2" t="n">
        <v>6.31</v>
      </c>
      <c r="R64" s="2" t="s">
        <v>202</v>
      </c>
      <c r="S64" s="2" t="s">
        <v>73</v>
      </c>
    </row>
    <row r="65" customFormat="false" ht="15" hidden="false" customHeight="false" outlineLevel="0" collapsed="false">
      <c r="A65" s="2" t="s">
        <v>551</v>
      </c>
      <c r="B65" s="2" t="s">
        <v>552</v>
      </c>
      <c r="C65" s="2" t="s">
        <v>553</v>
      </c>
      <c r="D65" s="2" t="s">
        <v>554</v>
      </c>
      <c r="E65" s="2" t="s">
        <v>555</v>
      </c>
      <c r="F65" s="2" t="s">
        <v>103</v>
      </c>
      <c r="G65" s="2" t="s">
        <v>330</v>
      </c>
      <c r="H65" s="2" t="s">
        <v>243</v>
      </c>
      <c r="I65" s="2" t="s">
        <v>54</v>
      </c>
      <c r="J65" s="2" t="s">
        <v>93</v>
      </c>
      <c r="K65" s="2" t="s">
        <v>130</v>
      </c>
      <c r="L65" s="2" t="s">
        <v>131</v>
      </c>
      <c r="M65" s="2" t="s">
        <v>556</v>
      </c>
      <c r="N65" s="2" t="n">
        <v>9</v>
      </c>
      <c r="O65" s="2" t="n">
        <v>0.3</v>
      </c>
      <c r="P65" s="2" t="n">
        <v>-0.26</v>
      </c>
      <c r="Q65" s="2" t="n">
        <v>11.18</v>
      </c>
      <c r="R65" s="2" t="s">
        <v>32</v>
      </c>
      <c r="S65" s="2" t="s">
        <v>33</v>
      </c>
    </row>
    <row r="66" customFormat="false" ht="15" hidden="false" customHeight="false" outlineLevel="0" collapsed="false">
      <c r="A66" s="2" t="s">
        <v>557</v>
      </c>
      <c r="B66" s="2" t="s">
        <v>558</v>
      </c>
      <c r="C66" s="2" t="s">
        <v>559</v>
      </c>
      <c r="D66" s="2" t="s">
        <v>560</v>
      </c>
      <c r="E66" s="2" t="s">
        <v>561</v>
      </c>
      <c r="F66" s="2" t="s">
        <v>24</v>
      </c>
      <c r="G66" s="2" t="s">
        <v>276</v>
      </c>
      <c r="H66" s="2" t="s">
        <v>26</v>
      </c>
      <c r="I66" s="2" t="s">
        <v>27</v>
      </c>
      <c r="J66" s="2" t="s">
        <v>562</v>
      </c>
      <c r="K66" s="2" t="s">
        <v>29</v>
      </c>
      <c r="L66" s="2" t="s">
        <v>374</v>
      </c>
      <c r="M66" s="2" t="s">
        <v>563</v>
      </c>
      <c r="N66" s="2" t="n">
        <v>10</v>
      </c>
      <c r="O66" s="2" t="n">
        <v>0</v>
      </c>
      <c r="P66" s="2" t="n">
        <v>560.33</v>
      </c>
      <c r="Q66" s="2" t="n">
        <v>53.46</v>
      </c>
      <c r="R66" s="2" t="s">
        <v>72</v>
      </c>
      <c r="S66" s="2" t="s">
        <v>33</v>
      </c>
    </row>
    <row r="67" customFormat="false" ht="15" hidden="false" customHeight="false" outlineLevel="0" collapsed="false">
      <c r="A67" s="2" t="s">
        <v>564</v>
      </c>
      <c r="B67" s="2" t="s">
        <v>565</v>
      </c>
      <c r="C67" s="2" t="s">
        <v>566</v>
      </c>
      <c r="D67" s="2" t="s">
        <v>567</v>
      </c>
      <c r="E67" s="2" t="s">
        <v>568</v>
      </c>
      <c r="F67" s="2" t="s">
        <v>79</v>
      </c>
      <c r="G67" s="2" t="s">
        <v>404</v>
      </c>
      <c r="H67" s="2" t="s">
        <v>365</v>
      </c>
      <c r="I67" s="2" t="s">
        <v>106</v>
      </c>
      <c r="J67" s="2" t="s">
        <v>82</v>
      </c>
      <c r="K67" s="2" t="s">
        <v>83</v>
      </c>
      <c r="L67" s="2" t="s">
        <v>569</v>
      </c>
      <c r="M67" s="2" t="s">
        <v>570</v>
      </c>
      <c r="N67" s="2" t="n">
        <v>5</v>
      </c>
      <c r="O67" s="2" t="n">
        <v>0.3</v>
      </c>
      <c r="P67" s="2" t="n">
        <v>20.8</v>
      </c>
      <c r="Q67" s="2" t="n">
        <v>53.9</v>
      </c>
      <c r="R67" s="2" t="s">
        <v>133</v>
      </c>
      <c r="S67" s="2" t="s">
        <v>73</v>
      </c>
    </row>
    <row r="68" customFormat="false" ht="15" hidden="false" customHeight="false" outlineLevel="0" collapsed="false">
      <c r="A68" s="2" t="s">
        <v>571</v>
      </c>
      <c r="B68" s="2" t="s">
        <v>572</v>
      </c>
      <c r="C68" s="2" t="s">
        <v>113</v>
      </c>
      <c r="D68" s="2" t="s">
        <v>573</v>
      </c>
      <c r="E68" s="2" t="s">
        <v>574</v>
      </c>
      <c r="F68" s="2" t="s">
        <v>39</v>
      </c>
      <c r="G68" s="2" t="s">
        <v>372</v>
      </c>
      <c r="H68" s="2" t="s">
        <v>373</v>
      </c>
      <c r="I68" s="2" t="s">
        <v>27</v>
      </c>
      <c r="J68" s="2" t="s">
        <v>55</v>
      </c>
      <c r="K68" s="2" t="s">
        <v>277</v>
      </c>
      <c r="L68" s="2" t="s">
        <v>397</v>
      </c>
      <c r="M68" s="2" t="s">
        <v>575</v>
      </c>
      <c r="N68" s="2" t="n">
        <v>4</v>
      </c>
      <c r="O68" s="2" t="n">
        <v>0.4</v>
      </c>
      <c r="P68" s="2" t="n">
        <v>-32.52</v>
      </c>
      <c r="Q68" s="2" t="n">
        <v>42.44</v>
      </c>
      <c r="R68" s="2" t="s">
        <v>121</v>
      </c>
      <c r="S68" s="2" t="s">
        <v>33</v>
      </c>
    </row>
    <row r="69" customFormat="false" ht="15" hidden="false" customHeight="false" outlineLevel="0" collapsed="false">
      <c r="A69" s="2" t="s">
        <v>576</v>
      </c>
      <c r="B69" s="2" t="s">
        <v>577</v>
      </c>
      <c r="C69" s="2" t="s">
        <v>578</v>
      </c>
      <c r="D69" s="2" t="s">
        <v>579</v>
      </c>
      <c r="E69" s="2" t="s">
        <v>580</v>
      </c>
      <c r="F69" s="2" t="s">
        <v>24</v>
      </c>
      <c r="G69" s="2" t="s">
        <v>581</v>
      </c>
      <c r="H69" s="2" t="s">
        <v>259</v>
      </c>
      <c r="I69" s="2" t="s">
        <v>106</v>
      </c>
      <c r="J69" s="2" t="s">
        <v>129</v>
      </c>
      <c r="K69" s="2" t="s">
        <v>141</v>
      </c>
      <c r="L69" s="2" t="s">
        <v>142</v>
      </c>
      <c r="M69" s="2" t="s">
        <v>582</v>
      </c>
      <c r="N69" s="2" t="n">
        <v>3</v>
      </c>
      <c r="O69" s="2" t="n">
        <v>0.15</v>
      </c>
      <c r="P69" s="2" t="n">
        <v>11.88</v>
      </c>
      <c r="Q69" s="2" t="n">
        <v>27.86</v>
      </c>
      <c r="R69" s="2" t="s">
        <v>72</v>
      </c>
      <c r="S69" s="2" t="s">
        <v>73</v>
      </c>
    </row>
    <row r="70" customFormat="false" ht="15" hidden="false" customHeight="false" outlineLevel="0" collapsed="false">
      <c r="A70" s="2" t="s">
        <v>583</v>
      </c>
      <c r="B70" s="2" t="s">
        <v>584</v>
      </c>
      <c r="C70" s="2" t="s">
        <v>585</v>
      </c>
      <c r="D70" s="2" t="s">
        <v>586</v>
      </c>
      <c r="E70" s="2" t="s">
        <v>587</v>
      </c>
      <c r="F70" s="2" t="s">
        <v>24</v>
      </c>
      <c r="G70" s="2" t="s">
        <v>187</v>
      </c>
      <c r="H70" s="2" t="s">
        <v>151</v>
      </c>
      <c r="I70" s="2" t="s">
        <v>27</v>
      </c>
      <c r="J70" s="2" t="s">
        <v>93</v>
      </c>
      <c r="K70" s="2" t="s">
        <v>94</v>
      </c>
      <c r="L70" s="2" t="s">
        <v>210</v>
      </c>
      <c r="M70" s="2" t="s">
        <v>588</v>
      </c>
      <c r="N70" s="2" t="n">
        <v>6</v>
      </c>
      <c r="O70" s="2" t="n">
        <v>0</v>
      </c>
      <c r="P70" s="2" t="n">
        <v>87.75</v>
      </c>
      <c r="Q70" s="2" t="n">
        <v>43.07</v>
      </c>
      <c r="R70" s="2" t="s">
        <v>190</v>
      </c>
      <c r="S70" s="2" t="s">
        <v>33</v>
      </c>
    </row>
    <row r="71" customFormat="false" ht="15" hidden="false" customHeight="false" outlineLevel="0" collapsed="false">
      <c r="A71" s="2" t="s">
        <v>589</v>
      </c>
      <c r="B71" s="2" t="s">
        <v>590</v>
      </c>
      <c r="C71" s="2" t="s">
        <v>591</v>
      </c>
      <c r="D71" s="2" t="s">
        <v>592</v>
      </c>
      <c r="E71" s="2" t="s">
        <v>593</v>
      </c>
      <c r="F71" s="2" t="s">
        <v>594</v>
      </c>
      <c r="G71" s="2" t="s">
        <v>595</v>
      </c>
      <c r="H71" s="2" t="s">
        <v>140</v>
      </c>
      <c r="I71" s="2" t="s">
        <v>54</v>
      </c>
      <c r="J71" s="2" t="s">
        <v>43</v>
      </c>
      <c r="K71" s="2" t="s">
        <v>44</v>
      </c>
      <c r="L71" s="2" t="s">
        <v>596</v>
      </c>
      <c r="M71" s="2" t="s">
        <v>597</v>
      </c>
      <c r="N71" s="2" t="n">
        <v>3</v>
      </c>
      <c r="O71" s="2" t="n">
        <v>0.2</v>
      </c>
      <c r="P71" s="2" t="n">
        <v>9.9</v>
      </c>
      <c r="Q71" s="2" t="n">
        <v>24.09</v>
      </c>
      <c r="R71" s="2" t="s">
        <v>181</v>
      </c>
      <c r="S71" s="2" t="s">
        <v>73</v>
      </c>
    </row>
    <row r="72" customFormat="false" ht="15" hidden="false" customHeight="false" outlineLevel="0" collapsed="false">
      <c r="A72" s="2" t="s">
        <v>598</v>
      </c>
      <c r="B72" s="2" t="s">
        <v>599</v>
      </c>
      <c r="C72" s="2" t="s">
        <v>600</v>
      </c>
      <c r="D72" s="2" t="s">
        <v>601</v>
      </c>
      <c r="E72" s="2" t="s">
        <v>602</v>
      </c>
      <c r="F72" s="2" t="s">
        <v>66</v>
      </c>
      <c r="G72" s="2" t="s">
        <v>603</v>
      </c>
      <c r="H72" s="2" t="s">
        <v>105</v>
      </c>
      <c r="I72" s="2" t="s">
        <v>106</v>
      </c>
      <c r="J72" s="2" t="s">
        <v>387</v>
      </c>
      <c r="K72" s="2" t="s">
        <v>130</v>
      </c>
      <c r="L72" s="2" t="s">
        <v>604</v>
      </c>
      <c r="M72" s="2" t="s">
        <v>605</v>
      </c>
      <c r="N72" s="2" t="n">
        <v>7</v>
      </c>
      <c r="O72" s="2" t="n">
        <v>0.5</v>
      </c>
      <c r="P72" s="2" t="n">
        <v>-42.11</v>
      </c>
      <c r="Q72" s="2" t="n">
        <v>2.61</v>
      </c>
      <c r="R72" s="2" t="s">
        <v>121</v>
      </c>
      <c r="S72" s="2" t="s">
        <v>110</v>
      </c>
    </row>
    <row r="73" customFormat="false" ht="15" hidden="false" customHeight="false" outlineLevel="0" collapsed="false">
      <c r="A73" s="2" t="s">
        <v>606</v>
      </c>
      <c r="B73" s="2" t="s">
        <v>607</v>
      </c>
      <c r="C73" s="2" t="s">
        <v>608</v>
      </c>
      <c r="D73" s="2" t="s">
        <v>609</v>
      </c>
      <c r="E73" s="2" t="s">
        <v>610</v>
      </c>
      <c r="F73" s="2" t="s">
        <v>24</v>
      </c>
      <c r="G73" s="2" t="s">
        <v>611</v>
      </c>
      <c r="H73" s="2" t="s">
        <v>612</v>
      </c>
      <c r="I73" s="2" t="s">
        <v>106</v>
      </c>
      <c r="J73" s="2" t="s">
        <v>55</v>
      </c>
      <c r="K73" s="2" t="s">
        <v>277</v>
      </c>
      <c r="L73" s="2" t="s">
        <v>613</v>
      </c>
      <c r="M73" s="2" t="s">
        <v>614</v>
      </c>
      <c r="N73" s="2" t="n">
        <v>4</v>
      </c>
      <c r="O73" s="2" t="n">
        <v>0.2</v>
      </c>
      <c r="P73" s="2" t="n">
        <v>-1.79</v>
      </c>
      <c r="Q73" s="2" t="n">
        <v>23.95</v>
      </c>
      <c r="R73" s="2" t="s">
        <v>59</v>
      </c>
      <c r="S73" s="2" t="s">
        <v>60</v>
      </c>
    </row>
    <row r="74" customFormat="false" ht="15" hidden="false" customHeight="false" outlineLevel="0" collapsed="false">
      <c r="A74" s="2" t="s">
        <v>615</v>
      </c>
      <c r="B74" s="2" t="s">
        <v>616</v>
      </c>
      <c r="C74" s="2" t="s">
        <v>617</v>
      </c>
      <c r="D74" s="2" t="s">
        <v>618</v>
      </c>
      <c r="E74" s="2" t="s">
        <v>619</v>
      </c>
      <c r="F74" s="2" t="s">
        <v>196</v>
      </c>
      <c r="G74" s="2" t="s">
        <v>620</v>
      </c>
      <c r="H74" s="2" t="s">
        <v>68</v>
      </c>
      <c r="I74" s="2" t="s">
        <v>42</v>
      </c>
      <c r="J74" s="2" t="s">
        <v>129</v>
      </c>
      <c r="K74" s="2" t="s">
        <v>141</v>
      </c>
      <c r="L74" s="2" t="s">
        <v>142</v>
      </c>
      <c r="M74" s="2" t="s">
        <v>621</v>
      </c>
      <c r="N74" s="2" t="n">
        <v>5</v>
      </c>
      <c r="O74" s="2" t="n">
        <v>0</v>
      </c>
      <c r="P74" s="2" t="n">
        <v>7.1</v>
      </c>
      <c r="Q74" s="2" t="n">
        <v>55.42</v>
      </c>
      <c r="R74" s="2" t="s">
        <v>133</v>
      </c>
      <c r="S74" s="2" t="s">
        <v>33</v>
      </c>
    </row>
    <row r="75" customFormat="false" ht="15" hidden="false" customHeight="false" outlineLevel="0" collapsed="false">
      <c r="A75" s="2" t="s">
        <v>622</v>
      </c>
      <c r="B75" s="2" t="s">
        <v>623</v>
      </c>
      <c r="C75" s="2" t="s">
        <v>624</v>
      </c>
      <c r="D75" s="2" t="s">
        <v>625</v>
      </c>
      <c r="E75" s="2" t="s">
        <v>626</v>
      </c>
      <c r="F75" s="2" t="s">
        <v>196</v>
      </c>
      <c r="G75" s="2" t="s">
        <v>342</v>
      </c>
      <c r="H75" s="2" t="s">
        <v>225</v>
      </c>
      <c r="I75" s="2" t="s">
        <v>42</v>
      </c>
      <c r="J75" s="2" t="s">
        <v>188</v>
      </c>
      <c r="K75" s="2" t="s">
        <v>277</v>
      </c>
      <c r="L75" s="2" t="s">
        <v>397</v>
      </c>
      <c r="M75" s="2" t="s">
        <v>627</v>
      </c>
      <c r="N75" s="2" t="n">
        <v>4</v>
      </c>
      <c r="O75" s="2" t="n">
        <v>0</v>
      </c>
      <c r="P75" s="2" t="n">
        <v>296.79</v>
      </c>
      <c r="Q75" s="2" t="n">
        <v>45.04</v>
      </c>
      <c r="R75" s="2" t="s">
        <v>32</v>
      </c>
      <c r="S75" s="2" t="s">
        <v>60</v>
      </c>
    </row>
    <row r="76" customFormat="false" ht="15" hidden="false" customHeight="false" outlineLevel="0" collapsed="false">
      <c r="A76" s="2" t="s">
        <v>628</v>
      </c>
      <c r="B76" s="2" t="s">
        <v>629</v>
      </c>
      <c r="C76" s="2" t="s">
        <v>630</v>
      </c>
      <c r="D76" s="2" t="s">
        <v>631</v>
      </c>
      <c r="E76" s="2" t="s">
        <v>632</v>
      </c>
      <c r="F76" s="2" t="s">
        <v>24</v>
      </c>
      <c r="G76" s="2" t="s">
        <v>159</v>
      </c>
      <c r="H76" s="2" t="s">
        <v>160</v>
      </c>
      <c r="I76" s="2" t="s">
        <v>27</v>
      </c>
      <c r="J76" s="2" t="s">
        <v>343</v>
      </c>
      <c r="K76" s="2" t="s">
        <v>29</v>
      </c>
      <c r="L76" s="2" t="s">
        <v>374</v>
      </c>
      <c r="M76" s="2" t="s">
        <v>633</v>
      </c>
      <c r="N76" s="2" t="n">
        <v>9</v>
      </c>
      <c r="O76" s="2" t="n">
        <v>0</v>
      </c>
      <c r="P76" s="2" t="n">
        <v>1676.8</v>
      </c>
      <c r="Q76" s="2" t="n">
        <v>25.29</v>
      </c>
      <c r="R76" s="2" t="s">
        <v>181</v>
      </c>
      <c r="S76" s="2" t="s">
        <v>60</v>
      </c>
    </row>
    <row r="77" customFormat="false" ht="15" hidden="false" customHeight="false" outlineLevel="0" collapsed="false">
      <c r="A77" s="2" t="s">
        <v>634</v>
      </c>
      <c r="B77" s="2" t="s">
        <v>635</v>
      </c>
      <c r="C77" s="2" t="s">
        <v>636</v>
      </c>
      <c r="D77" s="2" t="s">
        <v>637</v>
      </c>
      <c r="E77" s="2" t="s">
        <v>638</v>
      </c>
      <c r="F77" s="2" t="s">
        <v>196</v>
      </c>
      <c r="G77" s="2" t="s">
        <v>639</v>
      </c>
      <c r="H77" s="2" t="s">
        <v>365</v>
      </c>
      <c r="I77" s="2" t="s">
        <v>106</v>
      </c>
      <c r="J77" s="2" t="s">
        <v>82</v>
      </c>
      <c r="K77" s="2" t="s">
        <v>83</v>
      </c>
      <c r="L77" s="2" t="s">
        <v>431</v>
      </c>
      <c r="M77" s="2" t="s">
        <v>640</v>
      </c>
      <c r="N77" s="2" t="n">
        <v>1</v>
      </c>
      <c r="O77" s="2" t="n">
        <v>0.15</v>
      </c>
      <c r="P77" s="2" t="n">
        <v>31.1</v>
      </c>
      <c r="Q77" s="2" t="n">
        <v>19.42</v>
      </c>
      <c r="R77" s="2" t="s">
        <v>86</v>
      </c>
      <c r="S77" s="2" t="s">
        <v>33</v>
      </c>
    </row>
    <row r="78" customFormat="false" ht="15" hidden="false" customHeight="false" outlineLevel="0" collapsed="false">
      <c r="A78" s="2" t="s">
        <v>641</v>
      </c>
      <c r="B78" s="2" t="s">
        <v>642</v>
      </c>
      <c r="C78" s="2" t="s">
        <v>643</v>
      </c>
      <c r="D78" s="2" t="s">
        <v>644</v>
      </c>
      <c r="E78" s="2" t="s">
        <v>645</v>
      </c>
      <c r="F78" s="2" t="s">
        <v>66</v>
      </c>
      <c r="G78" s="2" t="s">
        <v>104</v>
      </c>
      <c r="H78" s="2" t="s">
        <v>105</v>
      </c>
      <c r="I78" s="2" t="s">
        <v>106</v>
      </c>
      <c r="J78" s="2" t="s">
        <v>387</v>
      </c>
      <c r="K78" s="2" t="s">
        <v>170</v>
      </c>
      <c r="L78" s="2" t="s">
        <v>226</v>
      </c>
      <c r="M78" s="2" t="s">
        <v>646</v>
      </c>
      <c r="N78" s="2" t="n">
        <v>8</v>
      </c>
      <c r="O78" s="2" t="n">
        <v>0</v>
      </c>
      <c r="P78" s="2" t="n">
        <v>73.25</v>
      </c>
      <c r="Q78" s="2" t="n">
        <v>16.4</v>
      </c>
      <c r="R78" s="2" t="s">
        <v>32</v>
      </c>
      <c r="S78" s="2" t="s">
        <v>60</v>
      </c>
    </row>
    <row r="79" customFormat="false" ht="15" hidden="false" customHeight="false" outlineLevel="0" collapsed="false">
      <c r="A79" s="2" t="s">
        <v>647</v>
      </c>
      <c r="B79" s="2" t="s">
        <v>648</v>
      </c>
      <c r="C79" s="2" t="s">
        <v>649</v>
      </c>
      <c r="D79" s="2" t="s">
        <v>650</v>
      </c>
      <c r="E79" s="2" t="s">
        <v>651</v>
      </c>
      <c r="F79" s="2" t="s">
        <v>196</v>
      </c>
      <c r="G79" s="2" t="s">
        <v>652</v>
      </c>
      <c r="H79" s="2" t="s">
        <v>160</v>
      </c>
      <c r="I79" s="2" t="s">
        <v>27</v>
      </c>
      <c r="J79" s="2" t="s">
        <v>217</v>
      </c>
      <c r="K79" s="2" t="s">
        <v>170</v>
      </c>
      <c r="L79" s="2" t="s">
        <v>171</v>
      </c>
      <c r="M79" s="2" t="s">
        <v>653</v>
      </c>
      <c r="N79" s="2" t="n">
        <v>9</v>
      </c>
      <c r="O79" s="2" t="n">
        <v>0</v>
      </c>
      <c r="P79" s="2" t="n">
        <v>80.6</v>
      </c>
      <c r="Q79" s="2" t="n">
        <v>48.54</v>
      </c>
      <c r="R79" s="2" t="s">
        <v>190</v>
      </c>
      <c r="S79" s="2" t="s">
        <v>110</v>
      </c>
    </row>
    <row r="80" customFormat="false" ht="15" hidden="false" customHeight="false" outlineLevel="0" collapsed="false">
      <c r="A80" s="2" t="s">
        <v>654</v>
      </c>
      <c r="B80" s="2" t="s">
        <v>655</v>
      </c>
      <c r="C80" s="2" t="s">
        <v>656</v>
      </c>
      <c r="D80" s="2" t="s">
        <v>657</v>
      </c>
      <c r="E80" s="2" t="s">
        <v>658</v>
      </c>
      <c r="F80" s="2" t="s">
        <v>39</v>
      </c>
      <c r="G80" s="2" t="s">
        <v>25</v>
      </c>
      <c r="H80" s="2" t="s">
        <v>26</v>
      </c>
      <c r="I80" s="2" t="s">
        <v>27</v>
      </c>
      <c r="J80" s="2" t="s">
        <v>93</v>
      </c>
      <c r="K80" s="2" t="s">
        <v>388</v>
      </c>
      <c r="L80" s="2" t="s">
        <v>389</v>
      </c>
      <c r="M80" s="2" t="s">
        <v>659</v>
      </c>
      <c r="N80" s="2" t="n">
        <v>4</v>
      </c>
      <c r="O80" s="2" t="n">
        <v>0.15</v>
      </c>
      <c r="P80" s="2" t="n">
        <v>11.14</v>
      </c>
      <c r="Q80" s="2" t="n">
        <v>38.53</v>
      </c>
      <c r="R80" s="2" t="s">
        <v>72</v>
      </c>
      <c r="S80" s="2" t="s">
        <v>60</v>
      </c>
    </row>
    <row r="81" customFormat="false" ht="15" hidden="false" customHeight="false" outlineLevel="0" collapsed="false">
      <c r="A81" s="2" t="s">
        <v>660</v>
      </c>
      <c r="B81" s="2" t="s">
        <v>661</v>
      </c>
      <c r="C81" s="2" t="s">
        <v>662</v>
      </c>
      <c r="D81" s="2" t="s">
        <v>663</v>
      </c>
      <c r="E81" s="2" t="s">
        <v>664</v>
      </c>
      <c r="F81" s="2" t="s">
        <v>39</v>
      </c>
      <c r="G81" s="2"/>
      <c r="H81" s="2" t="s">
        <v>128</v>
      </c>
      <c r="I81" s="2" t="s">
        <v>42</v>
      </c>
      <c r="J81" s="2" t="s">
        <v>343</v>
      </c>
      <c r="K81" s="2" t="s">
        <v>83</v>
      </c>
      <c r="L81" s="2" t="s">
        <v>431</v>
      </c>
      <c r="M81" s="2" t="s">
        <v>665</v>
      </c>
      <c r="N81" s="2" t="n">
        <v>10</v>
      </c>
      <c r="O81" s="2" t="n">
        <v>0</v>
      </c>
      <c r="P81" s="2" t="n">
        <v>350.57</v>
      </c>
      <c r="Q81" s="2" t="n">
        <v>43.89</v>
      </c>
      <c r="R81" s="2" t="s">
        <v>72</v>
      </c>
      <c r="S81" s="2" t="s">
        <v>60</v>
      </c>
    </row>
    <row r="82" customFormat="false" ht="15" hidden="false" customHeight="false" outlineLevel="0" collapsed="false">
      <c r="A82" s="2" t="s">
        <v>666</v>
      </c>
      <c r="B82" s="2" t="s">
        <v>145</v>
      </c>
      <c r="C82" s="2" t="s">
        <v>667</v>
      </c>
      <c r="D82" s="2" t="s">
        <v>668</v>
      </c>
      <c r="E82" s="2" t="s">
        <v>669</v>
      </c>
      <c r="F82" s="2" t="s">
        <v>79</v>
      </c>
      <c r="G82" s="2" t="s">
        <v>670</v>
      </c>
      <c r="H82" s="2" t="s">
        <v>169</v>
      </c>
      <c r="I82" s="2" t="s">
        <v>106</v>
      </c>
      <c r="J82" s="2" t="s">
        <v>93</v>
      </c>
      <c r="K82" s="2" t="s">
        <v>94</v>
      </c>
      <c r="L82" s="2" t="s">
        <v>210</v>
      </c>
      <c r="M82" s="2" t="s">
        <v>671</v>
      </c>
      <c r="N82" s="2" t="n">
        <v>9</v>
      </c>
      <c r="O82" s="2" t="n">
        <v>0</v>
      </c>
      <c r="P82" s="2" t="n">
        <v>72.98</v>
      </c>
      <c r="Q82" s="2" t="n">
        <v>19.32</v>
      </c>
      <c r="R82" s="2" t="s">
        <v>202</v>
      </c>
      <c r="S82" s="2" t="s">
        <v>73</v>
      </c>
    </row>
    <row r="83" customFormat="false" ht="15" hidden="false" customHeight="false" outlineLevel="0" collapsed="false">
      <c r="A83" s="2" t="s">
        <v>672</v>
      </c>
      <c r="B83" s="2" t="s">
        <v>673</v>
      </c>
      <c r="C83" s="2" t="s">
        <v>674</v>
      </c>
      <c r="D83" s="2" t="s">
        <v>675</v>
      </c>
      <c r="E83" s="2" t="s">
        <v>676</v>
      </c>
      <c r="F83" s="2" t="s">
        <v>66</v>
      </c>
      <c r="G83" s="2" t="s">
        <v>639</v>
      </c>
      <c r="H83" s="2" t="s">
        <v>365</v>
      </c>
      <c r="I83" s="2" t="s">
        <v>106</v>
      </c>
      <c r="J83" s="2" t="s">
        <v>55</v>
      </c>
      <c r="K83" s="2" t="s">
        <v>69</v>
      </c>
      <c r="L83" s="2" t="s">
        <v>417</v>
      </c>
      <c r="M83" s="2" t="s">
        <v>677</v>
      </c>
      <c r="N83" s="2" t="n">
        <v>11</v>
      </c>
      <c r="O83" s="2" t="n">
        <v>0.4</v>
      </c>
      <c r="P83" s="2" t="n">
        <v>-113.69</v>
      </c>
      <c r="Q83" s="2" t="n">
        <v>43.17</v>
      </c>
      <c r="R83" s="2" t="s">
        <v>440</v>
      </c>
      <c r="S83" s="2" t="s">
        <v>33</v>
      </c>
    </row>
    <row r="84" customFormat="false" ht="15" hidden="false" customHeight="false" outlineLevel="0" collapsed="false">
      <c r="A84" s="2" t="s">
        <v>678</v>
      </c>
      <c r="B84" s="2" t="s">
        <v>679</v>
      </c>
      <c r="C84" s="2" t="s">
        <v>680</v>
      </c>
      <c r="D84" s="2" t="s">
        <v>681</v>
      </c>
      <c r="E84" s="2" t="s">
        <v>682</v>
      </c>
      <c r="F84" s="2" t="s">
        <v>196</v>
      </c>
      <c r="G84" s="2" t="s">
        <v>683</v>
      </c>
      <c r="H84" s="2" t="s">
        <v>612</v>
      </c>
      <c r="I84" s="2" t="s">
        <v>106</v>
      </c>
      <c r="J84" s="2" t="s">
        <v>217</v>
      </c>
      <c r="K84" s="2" t="s">
        <v>199</v>
      </c>
      <c r="L84" s="2" t="s">
        <v>200</v>
      </c>
      <c r="M84" s="2" t="s">
        <v>684</v>
      </c>
      <c r="N84" s="2" t="n">
        <v>1</v>
      </c>
      <c r="O84" s="2" t="n">
        <v>0.15</v>
      </c>
      <c r="P84" s="2" t="n">
        <v>3.97</v>
      </c>
      <c r="Q84" s="2" t="n">
        <v>28.87</v>
      </c>
      <c r="R84" s="2" t="s">
        <v>324</v>
      </c>
      <c r="S84" s="2" t="s">
        <v>110</v>
      </c>
    </row>
    <row r="85" customFormat="false" ht="15" hidden="false" customHeight="false" outlineLevel="0" collapsed="false">
      <c r="A85" s="2" t="s">
        <v>685</v>
      </c>
      <c r="B85" s="2" t="s">
        <v>686</v>
      </c>
      <c r="C85" s="2" t="s">
        <v>687</v>
      </c>
      <c r="D85" s="2" t="s">
        <v>688</v>
      </c>
      <c r="E85" s="2" t="s">
        <v>689</v>
      </c>
      <c r="F85" s="2" t="s">
        <v>66</v>
      </c>
      <c r="G85" s="2" t="s">
        <v>639</v>
      </c>
      <c r="H85" s="2" t="s">
        <v>365</v>
      </c>
      <c r="I85" s="2" t="s">
        <v>106</v>
      </c>
      <c r="J85" s="2" t="s">
        <v>93</v>
      </c>
      <c r="K85" s="2" t="s">
        <v>94</v>
      </c>
      <c r="L85" s="2" t="s">
        <v>95</v>
      </c>
      <c r="M85" s="2" t="s">
        <v>690</v>
      </c>
      <c r="N85" s="2" t="n">
        <v>9</v>
      </c>
      <c r="O85" s="2" t="n">
        <v>0.5</v>
      </c>
      <c r="P85" s="2" t="n">
        <v>-10.04</v>
      </c>
      <c r="Q85" s="2" t="n">
        <v>17.73</v>
      </c>
      <c r="R85" s="2" t="s">
        <v>162</v>
      </c>
      <c r="S85" s="2" t="s">
        <v>60</v>
      </c>
    </row>
    <row r="86" customFormat="false" ht="15" hidden="false" customHeight="false" outlineLevel="0" collapsed="false">
      <c r="A86" s="2" t="s">
        <v>691</v>
      </c>
      <c r="B86" s="2" t="s">
        <v>692</v>
      </c>
      <c r="C86" s="2" t="s">
        <v>693</v>
      </c>
      <c r="D86" s="2" t="s">
        <v>694</v>
      </c>
      <c r="E86" s="2" t="s">
        <v>695</v>
      </c>
      <c r="F86" s="2" t="s">
        <v>103</v>
      </c>
      <c r="G86" s="2" t="s">
        <v>508</v>
      </c>
      <c r="H86" s="2" t="s">
        <v>480</v>
      </c>
      <c r="I86" s="2" t="s">
        <v>54</v>
      </c>
      <c r="J86" s="2" t="s">
        <v>43</v>
      </c>
      <c r="K86" s="2" t="s">
        <v>69</v>
      </c>
      <c r="L86" s="2" t="s">
        <v>417</v>
      </c>
      <c r="M86" s="2" t="s">
        <v>696</v>
      </c>
      <c r="N86" s="2" t="n">
        <v>9</v>
      </c>
      <c r="O86" s="2" t="n">
        <v>0</v>
      </c>
      <c r="P86" s="2" t="n">
        <v>744.47</v>
      </c>
      <c r="Q86" s="2" t="n">
        <v>4.05</v>
      </c>
      <c r="R86" s="2" t="s">
        <v>697</v>
      </c>
      <c r="S86" s="2" t="s">
        <v>110</v>
      </c>
    </row>
    <row r="87" customFormat="false" ht="15" hidden="false" customHeight="false" outlineLevel="0" collapsed="false">
      <c r="A87" s="2" t="s">
        <v>698</v>
      </c>
      <c r="B87" s="2" t="s">
        <v>88</v>
      </c>
      <c r="C87" s="2" t="s">
        <v>699</v>
      </c>
      <c r="D87" s="2" t="s">
        <v>700</v>
      </c>
      <c r="E87" s="2" t="s">
        <v>701</v>
      </c>
      <c r="F87" s="2" t="s">
        <v>39</v>
      </c>
      <c r="G87" s="2" t="s">
        <v>702</v>
      </c>
      <c r="H87" s="2" t="s">
        <v>105</v>
      </c>
      <c r="I87" s="2" t="s">
        <v>106</v>
      </c>
      <c r="J87" s="2" t="s">
        <v>244</v>
      </c>
      <c r="K87" s="2" t="s">
        <v>69</v>
      </c>
      <c r="L87" s="2" t="s">
        <v>70</v>
      </c>
      <c r="M87" s="2" t="s">
        <v>703</v>
      </c>
      <c r="N87" s="2" t="n">
        <v>6</v>
      </c>
      <c r="O87" s="2" t="n">
        <v>0</v>
      </c>
      <c r="P87" s="2" t="n">
        <v>140.34</v>
      </c>
      <c r="Q87" s="2" t="n">
        <v>39.27</v>
      </c>
      <c r="R87" s="2" t="s">
        <v>324</v>
      </c>
      <c r="S87" s="2" t="s">
        <v>73</v>
      </c>
    </row>
    <row r="88" customFormat="false" ht="15" hidden="false" customHeight="false" outlineLevel="0" collapsed="false">
      <c r="A88" s="2" t="s">
        <v>704</v>
      </c>
      <c r="B88" s="2" t="s">
        <v>705</v>
      </c>
      <c r="C88" s="2" t="s">
        <v>706</v>
      </c>
      <c r="D88" s="2" t="s">
        <v>707</v>
      </c>
      <c r="E88" s="2" t="s">
        <v>708</v>
      </c>
      <c r="F88" s="2" t="s">
        <v>196</v>
      </c>
      <c r="G88" s="2" t="s">
        <v>709</v>
      </c>
      <c r="H88" s="2" t="s">
        <v>198</v>
      </c>
      <c r="I88" s="2" t="s">
        <v>106</v>
      </c>
      <c r="J88" s="2" t="s">
        <v>93</v>
      </c>
      <c r="K88" s="2" t="s">
        <v>170</v>
      </c>
      <c r="L88" s="2" t="s">
        <v>171</v>
      </c>
      <c r="M88" s="2" t="s">
        <v>710</v>
      </c>
      <c r="N88" s="2" t="n">
        <v>11</v>
      </c>
      <c r="O88" s="2" t="n">
        <v>0.1</v>
      </c>
      <c r="P88" s="2" t="n">
        <v>64.67</v>
      </c>
      <c r="Q88" s="2" t="n">
        <v>15.03</v>
      </c>
      <c r="R88" s="2" t="s">
        <v>86</v>
      </c>
      <c r="S88" s="2" t="s">
        <v>73</v>
      </c>
    </row>
    <row r="89" customFormat="false" ht="15" hidden="false" customHeight="false" outlineLevel="0" collapsed="false">
      <c r="A89" s="2" t="s">
        <v>711</v>
      </c>
      <c r="B89" s="2" t="s">
        <v>712</v>
      </c>
      <c r="C89" s="2" t="s">
        <v>713</v>
      </c>
      <c r="D89" s="2" t="s">
        <v>714</v>
      </c>
      <c r="E89" s="2" t="s">
        <v>715</v>
      </c>
      <c r="F89" s="2" t="s">
        <v>179</v>
      </c>
      <c r="G89" s="2" t="s">
        <v>159</v>
      </c>
      <c r="H89" s="2" t="s">
        <v>160</v>
      </c>
      <c r="I89" s="2" t="s">
        <v>27</v>
      </c>
      <c r="J89" s="2" t="s">
        <v>82</v>
      </c>
      <c r="K89" s="2" t="s">
        <v>83</v>
      </c>
      <c r="L89" s="2" t="s">
        <v>569</v>
      </c>
      <c r="M89" s="2" t="s">
        <v>716</v>
      </c>
      <c r="N89" s="2" t="n">
        <v>7</v>
      </c>
      <c r="O89" s="2" t="n">
        <v>0.5</v>
      </c>
      <c r="P89" s="2" t="n">
        <v>-451.66</v>
      </c>
      <c r="Q89" s="2" t="n">
        <v>11.2</v>
      </c>
      <c r="R89" s="2" t="s">
        <v>109</v>
      </c>
      <c r="S89" s="2" t="s">
        <v>33</v>
      </c>
    </row>
    <row r="90" customFormat="false" ht="15" hidden="false" customHeight="false" outlineLevel="0" collapsed="false">
      <c r="A90" s="2" t="s">
        <v>717</v>
      </c>
      <c r="B90" s="2" t="s">
        <v>718</v>
      </c>
      <c r="C90" s="2" t="s">
        <v>719</v>
      </c>
      <c r="D90" s="2" t="s">
        <v>720</v>
      </c>
      <c r="E90" s="2" t="s">
        <v>721</v>
      </c>
      <c r="F90" s="2" t="s">
        <v>39</v>
      </c>
      <c r="G90" s="2" t="s">
        <v>683</v>
      </c>
      <c r="H90" s="2" t="s">
        <v>612</v>
      </c>
      <c r="I90" s="2" t="s">
        <v>106</v>
      </c>
      <c r="J90" s="2" t="s">
        <v>387</v>
      </c>
      <c r="K90" s="2" t="s">
        <v>94</v>
      </c>
      <c r="L90" s="2" t="s">
        <v>210</v>
      </c>
      <c r="M90" s="2" t="s">
        <v>722</v>
      </c>
      <c r="N90" s="2" t="n">
        <v>11</v>
      </c>
      <c r="O90" s="2" t="n">
        <v>0.3</v>
      </c>
      <c r="P90" s="2" t="n">
        <v>1.22</v>
      </c>
      <c r="Q90" s="2" t="n">
        <v>58.59</v>
      </c>
      <c r="R90" s="2" t="s">
        <v>86</v>
      </c>
      <c r="S90" s="2"/>
    </row>
    <row r="91" customFormat="false" ht="15" hidden="false" customHeight="false" outlineLevel="0" collapsed="false">
      <c r="A91" s="2" t="s">
        <v>723</v>
      </c>
      <c r="B91" s="2" t="s">
        <v>724</v>
      </c>
      <c r="C91" s="2" t="s">
        <v>725</v>
      </c>
      <c r="D91" s="2" t="s">
        <v>726</v>
      </c>
      <c r="E91" s="2" t="s">
        <v>727</v>
      </c>
      <c r="F91" s="2" t="s">
        <v>39</v>
      </c>
      <c r="G91" s="2" t="s">
        <v>728</v>
      </c>
      <c r="H91" s="2" t="s">
        <v>209</v>
      </c>
      <c r="I91" s="2" t="s">
        <v>27</v>
      </c>
      <c r="J91" s="2" t="s">
        <v>43</v>
      </c>
      <c r="K91" s="2" t="s">
        <v>56</v>
      </c>
      <c r="L91" s="2" t="s">
        <v>307</v>
      </c>
      <c r="M91" s="2" t="s">
        <v>729</v>
      </c>
      <c r="N91" s="2" t="n">
        <v>2</v>
      </c>
      <c r="O91" s="2" t="n">
        <v>0.4</v>
      </c>
      <c r="P91" s="2" t="n">
        <v>-58.81</v>
      </c>
      <c r="Q91" s="2" t="n">
        <v>32.37</v>
      </c>
      <c r="R91" s="2" t="s">
        <v>86</v>
      </c>
      <c r="S91" s="2" t="s">
        <v>60</v>
      </c>
    </row>
    <row r="92" customFormat="false" ht="15" hidden="false" customHeight="false" outlineLevel="0" collapsed="false">
      <c r="A92" s="2" t="s">
        <v>730</v>
      </c>
      <c r="B92" s="2" t="s">
        <v>731</v>
      </c>
      <c r="C92" s="2" t="s">
        <v>732</v>
      </c>
      <c r="D92" s="2" t="s">
        <v>733</v>
      </c>
      <c r="E92" s="2" t="s">
        <v>734</v>
      </c>
      <c r="F92" s="2" t="s">
        <v>149</v>
      </c>
      <c r="G92" s="2" t="s">
        <v>728</v>
      </c>
      <c r="H92" s="2" t="s">
        <v>209</v>
      </c>
      <c r="I92" s="2" t="s">
        <v>27</v>
      </c>
      <c r="J92" s="2" t="s">
        <v>129</v>
      </c>
      <c r="K92" s="2" t="s">
        <v>94</v>
      </c>
      <c r="L92" s="2" t="s">
        <v>152</v>
      </c>
      <c r="M92" s="2" t="s">
        <v>735</v>
      </c>
      <c r="N92" s="2" t="n">
        <v>9</v>
      </c>
      <c r="O92" s="2" t="n">
        <v>0</v>
      </c>
      <c r="P92" s="2" t="n">
        <v>94.95</v>
      </c>
      <c r="Q92" s="2" t="n">
        <v>51.07</v>
      </c>
      <c r="R92" s="2" t="s">
        <v>86</v>
      </c>
      <c r="S92" s="2" t="s">
        <v>60</v>
      </c>
    </row>
    <row r="93" customFormat="false" ht="15" hidden="false" customHeight="false" outlineLevel="0" collapsed="false">
      <c r="A93" s="2" t="s">
        <v>736</v>
      </c>
      <c r="B93" s="2" t="s">
        <v>737</v>
      </c>
      <c r="C93" s="2" t="s">
        <v>738</v>
      </c>
      <c r="D93" s="2" t="s">
        <v>739</v>
      </c>
      <c r="E93" s="2" t="s">
        <v>740</v>
      </c>
      <c r="F93" s="2" t="s">
        <v>79</v>
      </c>
      <c r="G93" s="2" t="s">
        <v>595</v>
      </c>
      <c r="H93" s="2" t="s">
        <v>140</v>
      </c>
      <c r="I93" s="2" t="s">
        <v>54</v>
      </c>
      <c r="J93" s="2" t="s">
        <v>93</v>
      </c>
      <c r="K93" s="2" t="s">
        <v>170</v>
      </c>
      <c r="L93" s="2" t="s">
        <v>171</v>
      </c>
      <c r="M93" s="2" t="s">
        <v>741</v>
      </c>
      <c r="N93" s="2" t="n">
        <v>8</v>
      </c>
      <c r="O93" s="2" t="n">
        <v>0</v>
      </c>
      <c r="P93" s="2" t="n">
        <v>45.7</v>
      </c>
      <c r="Q93" s="2" t="n">
        <v>49.97</v>
      </c>
      <c r="R93" s="2" t="s">
        <v>324</v>
      </c>
      <c r="S93" s="2" t="s">
        <v>33</v>
      </c>
    </row>
    <row r="94" customFormat="false" ht="15" hidden="false" customHeight="false" outlineLevel="0" collapsed="false">
      <c r="A94" s="2" t="s">
        <v>742</v>
      </c>
      <c r="B94" s="2" t="s">
        <v>743</v>
      </c>
      <c r="C94" s="2" t="s">
        <v>744</v>
      </c>
      <c r="D94" s="2" t="s">
        <v>745</v>
      </c>
      <c r="E94" s="2" t="s">
        <v>746</v>
      </c>
      <c r="F94" s="2" t="s">
        <v>66</v>
      </c>
      <c r="G94" s="2" t="s">
        <v>276</v>
      </c>
      <c r="H94" s="2" t="s">
        <v>26</v>
      </c>
      <c r="I94" s="2" t="s">
        <v>27</v>
      </c>
      <c r="J94" s="2" t="s">
        <v>55</v>
      </c>
      <c r="K94" s="2" t="s">
        <v>44</v>
      </c>
      <c r="L94" s="2" t="s">
        <v>351</v>
      </c>
      <c r="M94" s="2" t="s">
        <v>747</v>
      </c>
      <c r="N94" s="2" t="n">
        <v>11</v>
      </c>
      <c r="O94" s="2"/>
      <c r="P94" s="2" t="n">
        <v>-500.43</v>
      </c>
      <c r="Q94" s="2" t="n">
        <v>36.57</v>
      </c>
      <c r="R94" s="2" t="s">
        <v>86</v>
      </c>
      <c r="S94" s="2" t="s">
        <v>110</v>
      </c>
    </row>
    <row r="95" customFormat="false" ht="15" hidden="false" customHeight="false" outlineLevel="0" collapsed="false">
      <c r="A95" s="2" t="s">
        <v>748</v>
      </c>
      <c r="B95" s="2" t="s">
        <v>749</v>
      </c>
      <c r="C95" s="2" t="s">
        <v>750</v>
      </c>
      <c r="D95" s="2" t="s">
        <v>751</v>
      </c>
      <c r="E95" s="2" t="s">
        <v>752</v>
      </c>
      <c r="F95" s="2" t="s">
        <v>39</v>
      </c>
      <c r="G95" s="2" t="s">
        <v>314</v>
      </c>
      <c r="H95" s="2" t="s">
        <v>315</v>
      </c>
      <c r="I95" s="2" t="s">
        <v>54</v>
      </c>
      <c r="J95" s="2" t="s">
        <v>244</v>
      </c>
      <c r="K95" s="2" t="s">
        <v>277</v>
      </c>
      <c r="L95" s="2" t="s">
        <v>613</v>
      </c>
      <c r="M95" s="2" t="s">
        <v>753</v>
      </c>
      <c r="N95" s="2" t="n">
        <v>8</v>
      </c>
      <c r="O95" s="2" t="n">
        <v>0</v>
      </c>
      <c r="P95" s="2" t="n">
        <v>153.46</v>
      </c>
      <c r="Q95" s="2" t="n">
        <v>21.45</v>
      </c>
      <c r="R95" s="2" t="s">
        <v>72</v>
      </c>
      <c r="S95" s="2" t="s">
        <v>110</v>
      </c>
    </row>
    <row r="96" customFormat="false" ht="15" hidden="false" customHeight="false" outlineLevel="0" collapsed="false">
      <c r="A96" s="2" t="s">
        <v>754</v>
      </c>
      <c r="B96" s="2" t="s">
        <v>755</v>
      </c>
      <c r="C96" s="2" t="s">
        <v>756</v>
      </c>
      <c r="D96" s="2" t="s">
        <v>757</v>
      </c>
      <c r="E96" s="2" t="s">
        <v>758</v>
      </c>
      <c r="F96" s="2" t="s">
        <v>66</v>
      </c>
      <c r="G96" s="2" t="s">
        <v>759</v>
      </c>
      <c r="H96" s="2" t="s">
        <v>160</v>
      </c>
      <c r="I96" s="2" t="s">
        <v>27</v>
      </c>
      <c r="J96" s="2" t="s">
        <v>129</v>
      </c>
      <c r="K96" s="2" t="s">
        <v>130</v>
      </c>
      <c r="L96" s="2" t="s">
        <v>131</v>
      </c>
      <c r="M96" s="2" t="s">
        <v>760</v>
      </c>
      <c r="N96" s="2" t="n">
        <v>2</v>
      </c>
      <c r="O96" s="2" t="n">
        <v>0</v>
      </c>
      <c r="P96" s="2" t="n">
        <v>7.76</v>
      </c>
      <c r="Q96" s="2" t="n">
        <v>7.66</v>
      </c>
      <c r="R96" s="2" t="s">
        <v>109</v>
      </c>
      <c r="S96" s="2" t="s">
        <v>60</v>
      </c>
    </row>
    <row r="97" customFormat="false" ht="15" hidden="false" customHeight="false" outlineLevel="0" collapsed="false">
      <c r="A97" s="2" t="s">
        <v>761</v>
      </c>
      <c r="B97" s="2" t="s">
        <v>762</v>
      </c>
      <c r="C97" s="2" t="s">
        <v>763</v>
      </c>
      <c r="D97" s="2" t="s">
        <v>764</v>
      </c>
      <c r="E97" s="2" t="s">
        <v>765</v>
      </c>
      <c r="F97" s="2" t="s">
        <v>79</v>
      </c>
      <c r="G97" s="2" t="s">
        <v>766</v>
      </c>
      <c r="H97" s="2" t="s">
        <v>299</v>
      </c>
      <c r="I97" s="2" t="s">
        <v>42</v>
      </c>
      <c r="J97" s="2" t="s">
        <v>562</v>
      </c>
      <c r="K97" s="2" t="s">
        <v>234</v>
      </c>
      <c r="L97" s="2" t="s">
        <v>235</v>
      </c>
      <c r="M97" s="2" t="s">
        <v>767</v>
      </c>
      <c r="N97" s="2" t="n">
        <v>3</v>
      </c>
      <c r="O97" s="2" t="n">
        <v>0.2</v>
      </c>
      <c r="P97" s="2" t="n">
        <v>-4.97</v>
      </c>
      <c r="Q97" s="2" t="n">
        <v>34.75</v>
      </c>
      <c r="R97" s="2" t="s">
        <v>133</v>
      </c>
      <c r="S97" s="2" t="s">
        <v>73</v>
      </c>
    </row>
    <row r="98" customFormat="false" ht="15" hidden="false" customHeight="false" outlineLevel="0" collapsed="false">
      <c r="A98" s="2" t="s">
        <v>768</v>
      </c>
      <c r="B98" s="2" t="s">
        <v>769</v>
      </c>
      <c r="C98" s="2" t="s">
        <v>770</v>
      </c>
      <c r="D98" s="2" t="s">
        <v>771</v>
      </c>
      <c r="E98" s="2" t="s">
        <v>772</v>
      </c>
      <c r="F98" s="2" t="s">
        <v>179</v>
      </c>
      <c r="G98" s="2" t="s">
        <v>773</v>
      </c>
      <c r="H98" s="2" t="s">
        <v>41</v>
      </c>
      <c r="I98" s="2" t="s">
        <v>42</v>
      </c>
      <c r="J98" s="2" t="s">
        <v>129</v>
      </c>
      <c r="K98" s="2" t="s">
        <v>199</v>
      </c>
      <c r="L98" s="2" t="s">
        <v>200</v>
      </c>
      <c r="M98" s="2" t="s">
        <v>774</v>
      </c>
      <c r="N98" s="2" t="n">
        <v>11</v>
      </c>
      <c r="O98" s="2" t="n">
        <v>0.3</v>
      </c>
      <c r="P98" s="2" t="n">
        <v>-0.4</v>
      </c>
      <c r="Q98" s="2" t="n">
        <v>3.3</v>
      </c>
      <c r="R98" s="2" t="s">
        <v>162</v>
      </c>
      <c r="S98" s="2" t="s">
        <v>73</v>
      </c>
    </row>
    <row r="99" customFormat="false" ht="15" hidden="false" customHeight="false" outlineLevel="0" collapsed="false">
      <c r="A99" s="2" t="s">
        <v>775</v>
      </c>
      <c r="B99" s="2" t="s">
        <v>776</v>
      </c>
      <c r="C99" s="2" t="s">
        <v>777</v>
      </c>
      <c r="D99" s="2" t="s">
        <v>231</v>
      </c>
      <c r="E99" s="2" t="s">
        <v>232</v>
      </c>
      <c r="F99" s="2" t="s">
        <v>24</v>
      </c>
      <c r="G99" s="2" t="s">
        <v>80</v>
      </c>
      <c r="H99" s="2" t="s">
        <v>81</v>
      </c>
      <c r="I99" s="2" t="s">
        <v>42</v>
      </c>
      <c r="J99" s="2" t="s">
        <v>28</v>
      </c>
      <c r="K99" s="2" t="s">
        <v>118</v>
      </c>
      <c r="L99" s="2" t="s">
        <v>260</v>
      </c>
      <c r="M99" s="2" t="s">
        <v>778</v>
      </c>
      <c r="N99" s="2" t="n">
        <v>10</v>
      </c>
      <c r="O99" s="2" t="n">
        <v>0.4</v>
      </c>
      <c r="P99" s="2" t="n">
        <v>-99.63</v>
      </c>
      <c r="Q99" s="2" t="n">
        <v>4.9</v>
      </c>
      <c r="R99" s="2" t="s">
        <v>86</v>
      </c>
      <c r="S99" s="2" t="s">
        <v>33</v>
      </c>
    </row>
    <row r="100" customFormat="false" ht="15" hidden="false" customHeight="false" outlineLevel="0" collapsed="false">
      <c r="A100" s="2" t="s">
        <v>779</v>
      </c>
      <c r="B100" s="2" t="s">
        <v>780</v>
      </c>
      <c r="C100" s="2" t="s">
        <v>781</v>
      </c>
      <c r="D100" s="2" t="s">
        <v>688</v>
      </c>
      <c r="E100" s="2" t="s">
        <v>689</v>
      </c>
      <c r="F100" s="2" t="s">
        <v>782</v>
      </c>
      <c r="G100" s="2" t="s">
        <v>702</v>
      </c>
      <c r="H100" s="2" t="s">
        <v>105</v>
      </c>
      <c r="I100" s="2" t="s">
        <v>106</v>
      </c>
      <c r="J100" s="2" t="s">
        <v>28</v>
      </c>
      <c r="K100" s="2" t="s">
        <v>83</v>
      </c>
      <c r="L100" s="2" t="s">
        <v>431</v>
      </c>
      <c r="M100" s="2" t="s">
        <v>783</v>
      </c>
      <c r="N100" s="2" t="n">
        <v>2</v>
      </c>
      <c r="O100" s="2" t="n">
        <v>0.2</v>
      </c>
      <c r="P100" s="2" t="n">
        <v>11.29</v>
      </c>
      <c r="Q100" s="2" t="n">
        <v>51.6</v>
      </c>
      <c r="R100" s="2" t="s">
        <v>72</v>
      </c>
      <c r="S100" s="2" t="s">
        <v>110</v>
      </c>
    </row>
    <row r="101" customFormat="false" ht="15" hidden="false" customHeight="false" outlineLevel="0" collapsed="false">
      <c r="A101" s="2" t="s">
        <v>784</v>
      </c>
      <c r="B101" s="2" t="s">
        <v>785</v>
      </c>
      <c r="C101" s="2" t="s">
        <v>786</v>
      </c>
      <c r="D101" s="2" t="s">
        <v>787</v>
      </c>
      <c r="E101" s="2" t="s">
        <v>788</v>
      </c>
      <c r="F101" s="2" t="s">
        <v>103</v>
      </c>
      <c r="G101" s="2" t="s">
        <v>543</v>
      </c>
      <c r="H101" s="2" t="s">
        <v>41</v>
      </c>
      <c r="I101" s="2" t="s">
        <v>42</v>
      </c>
      <c r="J101" s="2" t="s">
        <v>129</v>
      </c>
      <c r="K101" s="2" t="s">
        <v>199</v>
      </c>
      <c r="L101" s="2" t="s">
        <v>789</v>
      </c>
      <c r="M101" s="2" t="s">
        <v>790</v>
      </c>
      <c r="N101" s="2" t="n">
        <v>11</v>
      </c>
      <c r="O101" s="2" t="n">
        <v>0</v>
      </c>
      <c r="P101" s="2" t="n">
        <v>61.08</v>
      </c>
      <c r="Q101" s="2" t="n">
        <v>51.39</v>
      </c>
      <c r="R101" s="2" t="s">
        <v>86</v>
      </c>
      <c r="S101" s="2" t="s">
        <v>73</v>
      </c>
    </row>
    <row r="102" customFormat="false" ht="15" hidden="false" customHeight="false" outlineLevel="0" collapsed="false">
      <c r="A102" s="2" t="s">
        <v>791</v>
      </c>
      <c r="B102" s="2" t="s">
        <v>792</v>
      </c>
      <c r="C102" s="2" t="s">
        <v>793</v>
      </c>
      <c r="D102" s="2" t="s">
        <v>794</v>
      </c>
      <c r="E102" s="2" t="s">
        <v>795</v>
      </c>
      <c r="F102" s="2" t="s">
        <v>196</v>
      </c>
      <c r="G102" s="2" t="s">
        <v>796</v>
      </c>
      <c r="H102" s="2" t="s">
        <v>259</v>
      </c>
      <c r="I102" s="2" t="s">
        <v>106</v>
      </c>
      <c r="J102" s="2" t="s">
        <v>562</v>
      </c>
      <c r="K102" s="2" t="s">
        <v>234</v>
      </c>
      <c r="L102" s="2" t="s">
        <v>344</v>
      </c>
      <c r="M102" s="2" t="s">
        <v>797</v>
      </c>
      <c r="N102" s="2" t="n">
        <v>12</v>
      </c>
      <c r="O102" s="2" t="n">
        <v>0.2</v>
      </c>
      <c r="P102" s="2" t="n">
        <v>25.44</v>
      </c>
      <c r="Q102" s="2" t="n">
        <v>47.42</v>
      </c>
      <c r="R102" s="2" t="s">
        <v>72</v>
      </c>
      <c r="S102" s="2" t="s">
        <v>73</v>
      </c>
    </row>
    <row r="103" customFormat="false" ht="15" hidden="false" customHeight="false" outlineLevel="0" collapsed="false">
      <c r="A103" s="2" t="s">
        <v>798</v>
      </c>
      <c r="B103" s="2" t="s">
        <v>799</v>
      </c>
      <c r="C103" s="2" t="s">
        <v>800</v>
      </c>
      <c r="D103" s="2" t="s">
        <v>801</v>
      </c>
      <c r="E103" s="2" t="s">
        <v>802</v>
      </c>
      <c r="F103" s="2" t="s">
        <v>79</v>
      </c>
      <c r="G103" s="2" t="s">
        <v>276</v>
      </c>
      <c r="H103" s="2" t="s">
        <v>26</v>
      </c>
      <c r="I103" s="2" t="s">
        <v>27</v>
      </c>
      <c r="J103" s="2" t="s">
        <v>82</v>
      </c>
      <c r="K103" s="2" t="s">
        <v>118</v>
      </c>
      <c r="L103" s="2" t="s">
        <v>260</v>
      </c>
      <c r="M103" s="2" t="s">
        <v>803</v>
      </c>
      <c r="N103" s="2" t="n">
        <v>1</v>
      </c>
      <c r="O103" s="2" t="n">
        <v>0.3</v>
      </c>
      <c r="P103" s="2" t="n">
        <v>-8.1</v>
      </c>
      <c r="Q103" s="2" t="n">
        <v>42.29</v>
      </c>
      <c r="R103" s="2" t="s">
        <v>190</v>
      </c>
      <c r="S103" s="2" t="s">
        <v>60</v>
      </c>
    </row>
    <row r="104" customFormat="false" ht="15" hidden="false" customHeight="false" outlineLevel="0" collapsed="false">
      <c r="A104" s="2" t="s">
        <v>804</v>
      </c>
      <c r="B104" s="2" t="s">
        <v>805</v>
      </c>
      <c r="C104" s="2" t="s">
        <v>806</v>
      </c>
      <c r="D104" s="2" t="s">
        <v>114</v>
      </c>
      <c r="E104" s="2" t="s">
        <v>115</v>
      </c>
      <c r="F104" s="2" t="s">
        <v>39</v>
      </c>
      <c r="G104" s="2" t="s">
        <v>224</v>
      </c>
      <c r="H104" s="2" t="s">
        <v>225</v>
      </c>
      <c r="I104" s="2" t="s">
        <v>42</v>
      </c>
      <c r="J104" s="2" t="s">
        <v>43</v>
      </c>
      <c r="K104" s="2" t="s">
        <v>69</v>
      </c>
      <c r="L104" s="2" t="s">
        <v>417</v>
      </c>
      <c r="M104" s="2" t="s">
        <v>807</v>
      </c>
      <c r="N104" s="2" t="n">
        <v>2</v>
      </c>
      <c r="O104" s="2" t="n">
        <v>0.15</v>
      </c>
      <c r="P104" s="2" t="n">
        <v>159.39</v>
      </c>
      <c r="Q104" s="2" t="n">
        <v>25.06</v>
      </c>
      <c r="R104" s="2" t="s">
        <v>181</v>
      </c>
      <c r="S104" s="2" t="s">
        <v>73</v>
      </c>
    </row>
    <row r="105" customFormat="false" ht="15" hidden="false" customHeight="false" outlineLevel="0" collapsed="false">
      <c r="A105" s="2" t="s">
        <v>808</v>
      </c>
      <c r="B105" s="2" t="s">
        <v>809</v>
      </c>
      <c r="C105" s="2" t="s">
        <v>810</v>
      </c>
      <c r="D105" s="2" t="s">
        <v>811</v>
      </c>
      <c r="E105" s="2" t="s">
        <v>812</v>
      </c>
      <c r="F105" s="2" t="s">
        <v>66</v>
      </c>
      <c r="G105" s="2" t="s">
        <v>813</v>
      </c>
      <c r="H105" s="2" t="s">
        <v>151</v>
      </c>
      <c r="I105" s="2" t="s">
        <v>27</v>
      </c>
      <c r="J105" s="2" t="s">
        <v>28</v>
      </c>
      <c r="K105" s="2" t="s">
        <v>83</v>
      </c>
      <c r="L105" s="2" t="s">
        <v>431</v>
      </c>
      <c r="M105" s="2" t="s">
        <v>814</v>
      </c>
      <c r="N105" s="2" t="n">
        <v>6</v>
      </c>
      <c r="O105" s="2" t="n">
        <v>0</v>
      </c>
      <c r="P105" s="2" t="n">
        <v>315.43</v>
      </c>
      <c r="Q105" s="2" t="n">
        <v>18.89</v>
      </c>
      <c r="R105" s="2" t="s">
        <v>162</v>
      </c>
      <c r="S105" s="2" t="s">
        <v>60</v>
      </c>
    </row>
    <row r="106" customFormat="false" ht="15" hidden="false" customHeight="false" outlineLevel="0" collapsed="false">
      <c r="A106" s="2" t="s">
        <v>815</v>
      </c>
      <c r="B106" s="2" t="s">
        <v>816</v>
      </c>
      <c r="C106" s="2" t="s">
        <v>817</v>
      </c>
      <c r="D106" s="2" t="s">
        <v>818</v>
      </c>
      <c r="E106" s="2" t="s">
        <v>819</v>
      </c>
      <c r="F106" s="2" t="s">
        <v>103</v>
      </c>
      <c r="G106" s="2" t="s">
        <v>139</v>
      </c>
      <c r="H106" s="2" t="s">
        <v>140</v>
      </c>
      <c r="I106" s="2" t="s">
        <v>54</v>
      </c>
      <c r="J106" s="2" t="s">
        <v>244</v>
      </c>
      <c r="K106" s="2" t="s">
        <v>44</v>
      </c>
      <c r="L106" s="2" t="s">
        <v>300</v>
      </c>
      <c r="M106" s="2" t="s">
        <v>820</v>
      </c>
      <c r="N106" s="2" t="n">
        <v>8</v>
      </c>
      <c r="O106" s="2" t="n">
        <v>0</v>
      </c>
      <c r="P106" s="2" t="n">
        <v>504.07</v>
      </c>
      <c r="Q106" s="2" t="n">
        <v>4.31</v>
      </c>
      <c r="R106" s="2" t="s">
        <v>72</v>
      </c>
      <c r="S106" s="2" t="s">
        <v>60</v>
      </c>
    </row>
    <row r="107" customFormat="false" ht="15" hidden="false" customHeight="false" outlineLevel="0" collapsed="false">
      <c r="A107" s="2" t="s">
        <v>821</v>
      </c>
      <c r="B107" s="2" t="s">
        <v>822</v>
      </c>
      <c r="C107" s="2" t="s">
        <v>823</v>
      </c>
      <c r="D107" s="2" t="s">
        <v>824</v>
      </c>
      <c r="E107" s="2" t="s">
        <v>825</v>
      </c>
      <c r="F107" s="2" t="s">
        <v>24</v>
      </c>
      <c r="G107" s="2" t="s">
        <v>127</v>
      </c>
      <c r="H107" s="2" t="s">
        <v>128</v>
      </c>
      <c r="I107" s="2" t="s">
        <v>42</v>
      </c>
      <c r="J107" s="2" t="s">
        <v>55</v>
      </c>
      <c r="K107" s="2" t="s">
        <v>44</v>
      </c>
      <c r="L107" s="2" t="s">
        <v>596</v>
      </c>
      <c r="M107" s="2" t="s">
        <v>826</v>
      </c>
      <c r="N107" s="2" t="n">
        <v>1</v>
      </c>
      <c r="O107" s="2" t="n">
        <v>0</v>
      </c>
      <c r="P107" s="2" t="n">
        <v>95.3</v>
      </c>
      <c r="Q107" s="2" t="n">
        <v>19.32</v>
      </c>
      <c r="R107" s="2" t="s">
        <v>109</v>
      </c>
      <c r="S107" s="2" t="s">
        <v>33</v>
      </c>
    </row>
    <row r="108" customFormat="false" ht="15" hidden="false" customHeight="false" outlineLevel="0" collapsed="false">
      <c r="A108" s="2" t="s">
        <v>827</v>
      </c>
      <c r="B108" s="2" t="s">
        <v>828</v>
      </c>
      <c r="C108" s="2" t="s">
        <v>829</v>
      </c>
      <c r="D108" s="2" t="s">
        <v>830</v>
      </c>
      <c r="E108" s="2" t="s">
        <v>831</v>
      </c>
      <c r="F108" s="2" t="s">
        <v>79</v>
      </c>
      <c r="G108" s="2" t="s">
        <v>832</v>
      </c>
      <c r="H108" s="2" t="s">
        <v>68</v>
      </c>
      <c r="I108" s="2" t="s">
        <v>42</v>
      </c>
      <c r="J108" s="2" t="s">
        <v>343</v>
      </c>
      <c r="K108" s="2" t="s">
        <v>83</v>
      </c>
      <c r="L108" s="2" t="s">
        <v>84</v>
      </c>
      <c r="M108" s="2" t="s">
        <v>833</v>
      </c>
      <c r="N108" s="2" t="n">
        <v>8</v>
      </c>
      <c r="O108" s="2" t="n">
        <v>0.1</v>
      </c>
      <c r="P108" s="2" t="n">
        <v>321.81</v>
      </c>
      <c r="Q108" s="2" t="n">
        <v>39.33</v>
      </c>
      <c r="R108" s="2" t="s">
        <v>32</v>
      </c>
      <c r="S108" s="2" t="s">
        <v>73</v>
      </c>
    </row>
    <row r="109" customFormat="false" ht="15" hidden="false" customHeight="false" outlineLevel="0" collapsed="false">
      <c r="A109" s="2" t="s">
        <v>834</v>
      </c>
      <c r="B109" s="2" t="s">
        <v>835</v>
      </c>
      <c r="C109" s="2" t="s">
        <v>836</v>
      </c>
      <c r="D109" s="2" t="s">
        <v>837</v>
      </c>
      <c r="E109" s="2" t="s">
        <v>838</v>
      </c>
      <c r="F109" s="2" t="s">
        <v>39</v>
      </c>
      <c r="G109" s="2" t="s">
        <v>683</v>
      </c>
      <c r="H109" s="2" t="s">
        <v>612</v>
      </c>
      <c r="I109" s="2" t="s">
        <v>106</v>
      </c>
      <c r="J109" s="2" t="s">
        <v>55</v>
      </c>
      <c r="K109" s="2" t="s">
        <v>69</v>
      </c>
      <c r="L109" s="2" t="s">
        <v>107</v>
      </c>
      <c r="M109" s="2" t="s">
        <v>839</v>
      </c>
      <c r="N109" s="2" t="n">
        <v>1</v>
      </c>
      <c r="O109" s="2" t="n">
        <v>0.4</v>
      </c>
      <c r="P109" s="2" t="n">
        <v>-11.68</v>
      </c>
      <c r="Q109" s="2" t="n">
        <v>25.69</v>
      </c>
      <c r="R109" s="2" t="s">
        <v>162</v>
      </c>
      <c r="S109" s="2" t="s">
        <v>73</v>
      </c>
    </row>
    <row r="110" customFormat="false" ht="15" hidden="false" customHeight="false" outlineLevel="0" collapsed="false">
      <c r="A110" s="2" t="s">
        <v>840</v>
      </c>
      <c r="B110" s="2" t="s">
        <v>841</v>
      </c>
      <c r="C110" s="2" t="s">
        <v>566</v>
      </c>
      <c r="D110" s="2" t="s">
        <v>842</v>
      </c>
      <c r="E110" s="2" t="s">
        <v>843</v>
      </c>
      <c r="F110" s="2" t="s">
        <v>24</v>
      </c>
      <c r="G110" s="2" t="s">
        <v>603</v>
      </c>
      <c r="H110" s="2" t="s">
        <v>105</v>
      </c>
      <c r="I110" s="2" t="s">
        <v>106</v>
      </c>
      <c r="J110" s="2" t="s">
        <v>82</v>
      </c>
      <c r="K110" s="2" t="s">
        <v>29</v>
      </c>
      <c r="L110" s="2" t="s">
        <v>374</v>
      </c>
      <c r="M110" s="2" t="s">
        <v>844</v>
      </c>
      <c r="N110" s="2" t="n">
        <v>3</v>
      </c>
      <c r="O110" s="2" t="n">
        <v>0.5</v>
      </c>
      <c r="P110" s="2" t="n">
        <v>-45.35</v>
      </c>
      <c r="Q110" s="2" t="n">
        <v>8.84</v>
      </c>
      <c r="R110" s="2" t="s">
        <v>697</v>
      </c>
      <c r="S110" s="2" t="s">
        <v>60</v>
      </c>
    </row>
    <row r="111" customFormat="false" ht="15" hidden="false" customHeight="false" outlineLevel="0" collapsed="false">
      <c r="A111" s="2" t="s">
        <v>845</v>
      </c>
      <c r="B111" s="2" t="s">
        <v>846</v>
      </c>
      <c r="C111" s="2" t="s">
        <v>847</v>
      </c>
      <c r="D111" s="2" t="s">
        <v>848</v>
      </c>
      <c r="E111" s="2" t="s">
        <v>849</v>
      </c>
      <c r="F111" s="2" t="s">
        <v>24</v>
      </c>
      <c r="G111" s="2" t="s">
        <v>850</v>
      </c>
      <c r="H111" s="2" t="s">
        <v>128</v>
      </c>
      <c r="I111" s="2" t="s">
        <v>42</v>
      </c>
      <c r="J111" s="2" t="s">
        <v>93</v>
      </c>
      <c r="K111" s="2" t="s">
        <v>199</v>
      </c>
      <c r="L111" s="2" t="s">
        <v>851</v>
      </c>
      <c r="M111" s="2" t="s">
        <v>852</v>
      </c>
      <c r="N111" s="2" t="n">
        <v>9</v>
      </c>
      <c r="O111" s="2" t="n">
        <v>0</v>
      </c>
      <c r="P111" s="2" t="n">
        <v>47.4</v>
      </c>
      <c r="Q111" s="2" t="n">
        <v>23.98</v>
      </c>
      <c r="R111" s="2" t="s">
        <v>47</v>
      </c>
      <c r="S111" s="2" t="s">
        <v>60</v>
      </c>
    </row>
    <row r="112" customFormat="false" ht="15" hidden="false" customHeight="false" outlineLevel="0" collapsed="false">
      <c r="A112" s="2" t="s">
        <v>853</v>
      </c>
      <c r="B112" s="2" t="s">
        <v>854</v>
      </c>
      <c r="C112" s="2" t="s">
        <v>855</v>
      </c>
      <c r="D112" s="2" t="s">
        <v>856</v>
      </c>
      <c r="E112" s="2" t="s">
        <v>857</v>
      </c>
      <c r="F112" s="2" t="s">
        <v>66</v>
      </c>
      <c r="G112" s="2" t="s">
        <v>766</v>
      </c>
      <c r="H112" s="2" t="s">
        <v>299</v>
      </c>
      <c r="I112" s="2" t="s">
        <v>42</v>
      </c>
      <c r="J112" s="2" t="s">
        <v>43</v>
      </c>
      <c r="K112" s="2" t="s">
        <v>277</v>
      </c>
      <c r="L112" s="2" t="s">
        <v>278</v>
      </c>
      <c r="M112" s="2" t="s">
        <v>858</v>
      </c>
      <c r="N112" s="2" t="n">
        <v>8</v>
      </c>
      <c r="O112" s="2" t="n">
        <v>0</v>
      </c>
      <c r="P112" s="2" t="n">
        <v>845.09</v>
      </c>
      <c r="Q112" s="2" t="n">
        <v>2.85</v>
      </c>
      <c r="R112" s="2" t="s">
        <v>202</v>
      </c>
      <c r="S112" s="2" t="s">
        <v>60</v>
      </c>
    </row>
    <row r="113" customFormat="false" ht="15" hidden="false" customHeight="false" outlineLevel="0" collapsed="false">
      <c r="A113" s="2" t="s">
        <v>859</v>
      </c>
      <c r="B113" s="2" t="s">
        <v>860</v>
      </c>
      <c r="C113" s="2" t="s">
        <v>861</v>
      </c>
      <c r="D113" s="2" t="s">
        <v>862</v>
      </c>
      <c r="E113" s="2" t="s">
        <v>863</v>
      </c>
      <c r="F113" s="2" t="s">
        <v>39</v>
      </c>
      <c r="G113" s="2" t="s">
        <v>52</v>
      </c>
      <c r="H113" s="2" t="s">
        <v>53</v>
      </c>
      <c r="I113" s="2" t="s">
        <v>54</v>
      </c>
      <c r="J113" s="2" t="s">
        <v>93</v>
      </c>
      <c r="K113" s="2" t="s">
        <v>141</v>
      </c>
      <c r="L113" s="2" t="s">
        <v>864</v>
      </c>
      <c r="M113" s="2" t="s">
        <v>865</v>
      </c>
      <c r="N113" s="2" t="n">
        <v>11</v>
      </c>
      <c r="O113" s="2"/>
      <c r="P113" s="2" t="n">
        <v>16.12</v>
      </c>
      <c r="Q113" s="2" t="n">
        <v>46.82</v>
      </c>
      <c r="R113" s="2" t="s">
        <v>32</v>
      </c>
      <c r="S113" s="2" t="s">
        <v>60</v>
      </c>
    </row>
    <row r="114" customFormat="false" ht="15" hidden="false" customHeight="false" outlineLevel="0" collapsed="false">
      <c r="A114" s="2" t="s">
        <v>866</v>
      </c>
      <c r="B114" s="2" t="s">
        <v>867</v>
      </c>
      <c r="C114" s="2" t="s">
        <v>868</v>
      </c>
      <c r="D114" s="2" t="s">
        <v>869</v>
      </c>
      <c r="E114" s="2" t="s">
        <v>870</v>
      </c>
      <c r="F114" s="2" t="s">
        <v>39</v>
      </c>
      <c r="G114" s="2" t="s">
        <v>813</v>
      </c>
      <c r="H114" s="2" t="s">
        <v>151</v>
      </c>
      <c r="I114" s="2" t="s">
        <v>27</v>
      </c>
      <c r="J114" s="2" t="s">
        <v>55</v>
      </c>
      <c r="K114" s="2" t="s">
        <v>56</v>
      </c>
      <c r="L114" s="2" t="s">
        <v>536</v>
      </c>
      <c r="M114" s="2" t="s">
        <v>871</v>
      </c>
      <c r="N114" s="2" t="n">
        <v>10</v>
      </c>
      <c r="O114" s="2" t="n">
        <v>0.5</v>
      </c>
      <c r="P114" s="2" t="n">
        <v>-639.22</v>
      </c>
      <c r="Q114" s="2" t="n">
        <v>43.42</v>
      </c>
      <c r="R114" s="2" t="s">
        <v>133</v>
      </c>
      <c r="S114" s="2" t="s">
        <v>110</v>
      </c>
    </row>
    <row r="115" customFormat="false" ht="15" hidden="false" customHeight="false" outlineLevel="0" collapsed="false">
      <c r="A115" s="2" t="s">
        <v>872</v>
      </c>
      <c r="B115" s="2" t="s">
        <v>873</v>
      </c>
      <c r="C115" s="2" t="s">
        <v>874</v>
      </c>
      <c r="D115" s="2" t="s">
        <v>875</v>
      </c>
      <c r="E115" s="2" t="s">
        <v>876</v>
      </c>
      <c r="F115" s="2" t="s">
        <v>24</v>
      </c>
      <c r="G115" s="2" t="s">
        <v>314</v>
      </c>
      <c r="H115" s="2" t="s">
        <v>315</v>
      </c>
      <c r="I115" s="2" t="s">
        <v>54</v>
      </c>
      <c r="J115" s="2" t="s">
        <v>343</v>
      </c>
      <c r="K115" s="2" t="s">
        <v>234</v>
      </c>
      <c r="L115" s="2" t="s">
        <v>344</v>
      </c>
      <c r="M115" s="2" t="s">
        <v>877</v>
      </c>
      <c r="N115" s="2" t="n">
        <v>1</v>
      </c>
      <c r="O115" s="2" t="n">
        <v>0</v>
      </c>
      <c r="P115" s="2" t="n">
        <v>463.87</v>
      </c>
      <c r="Q115" s="2" t="n">
        <v>10</v>
      </c>
      <c r="R115" s="2" t="s">
        <v>47</v>
      </c>
      <c r="S115" s="2" t="s">
        <v>60</v>
      </c>
    </row>
    <row r="116" customFormat="false" ht="15" hidden="false" customHeight="false" outlineLevel="0" collapsed="false">
      <c r="A116" s="2" t="s">
        <v>878</v>
      </c>
      <c r="B116" s="2" t="s">
        <v>879</v>
      </c>
      <c r="C116" s="2" t="s">
        <v>880</v>
      </c>
      <c r="D116" s="2" t="s">
        <v>881</v>
      </c>
      <c r="E116" s="2" t="s">
        <v>882</v>
      </c>
      <c r="F116" s="2" t="s">
        <v>103</v>
      </c>
      <c r="G116" s="2" t="s">
        <v>168</v>
      </c>
      <c r="H116" s="2" t="s">
        <v>169</v>
      </c>
      <c r="I116" s="2" t="s">
        <v>106</v>
      </c>
      <c r="J116" s="2" t="s">
        <v>82</v>
      </c>
      <c r="K116" s="2" t="s">
        <v>234</v>
      </c>
      <c r="L116" s="2" t="s">
        <v>344</v>
      </c>
      <c r="M116" s="2" t="s">
        <v>883</v>
      </c>
      <c r="N116" s="2" t="n">
        <v>6</v>
      </c>
      <c r="O116" s="2" t="n">
        <v>0</v>
      </c>
      <c r="P116" s="2" t="n">
        <v>708.71</v>
      </c>
      <c r="Q116" s="2" t="n">
        <v>44.17</v>
      </c>
      <c r="R116" s="2" t="s">
        <v>72</v>
      </c>
      <c r="S116" s="2" t="s">
        <v>60</v>
      </c>
    </row>
    <row r="117" customFormat="false" ht="15" hidden="false" customHeight="false" outlineLevel="0" collapsed="false">
      <c r="A117" s="2" t="s">
        <v>884</v>
      </c>
      <c r="B117" s="2" t="s">
        <v>885</v>
      </c>
      <c r="C117" s="2" t="s">
        <v>886</v>
      </c>
      <c r="D117" s="2" t="s">
        <v>887</v>
      </c>
      <c r="E117" s="2" t="s">
        <v>888</v>
      </c>
      <c r="F117" s="2" t="s">
        <v>103</v>
      </c>
      <c r="G117" s="2" t="s">
        <v>543</v>
      </c>
      <c r="H117" s="2" t="s">
        <v>41</v>
      </c>
      <c r="I117" s="2" t="s">
        <v>42</v>
      </c>
      <c r="J117" s="2" t="s">
        <v>28</v>
      </c>
      <c r="K117" s="2" t="s">
        <v>234</v>
      </c>
      <c r="L117" s="2" t="s">
        <v>235</v>
      </c>
      <c r="M117" s="2" t="s">
        <v>889</v>
      </c>
      <c r="N117" s="2" t="n">
        <v>5</v>
      </c>
      <c r="O117" s="2" t="n">
        <v>0.4</v>
      </c>
      <c r="P117" s="2" t="n">
        <v>62.43</v>
      </c>
      <c r="Q117" s="2" t="n">
        <v>3.48</v>
      </c>
      <c r="R117" s="2" t="s">
        <v>72</v>
      </c>
      <c r="S117" s="2" t="s">
        <v>110</v>
      </c>
    </row>
    <row r="118" customFormat="false" ht="15" hidden="false" customHeight="false" outlineLevel="0" collapsed="false">
      <c r="A118" s="2" t="s">
        <v>890</v>
      </c>
      <c r="B118" s="2" t="s">
        <v>891</v>
      </c>
      <c r="C118" s="2" t="s">
        <v>892</v>
      </c>
      <c r="D118" s="2" t="s">
        <v>893</v>
      </c>
      <c r="E118" s="2" t="s">
        <v>894</v>
      </c>
      <c r="F118" s="2" t="s">
        <v>39</v>
      </c>
      <c r="G118" s="2" t="s">
        <v>895</v>
      </c>
      <c r="H118" s="2" t="s">
        <v>243</v>
      </c>
      <c r="I118" s="2" t="s">
        <v>54</v>
      </c>
      <c r="J118" s="2" t="s">
        <v>55</v>
      </c>
      <c r="K118" s="2" t="s">
        <v>69</v>
      </c>
      <c r="L118" s="2" t="s">
        <v>107</v>
      </c>
      <c r="M118" s="2" t="s">
        <v>896</v>
      </c>
      <c r="N118" s="2" t="n">
        <v>4</v>
      </c>
      <c r="O118" s="2" t="n">
        <v>0.4</v>
      </c>
      <c r="P118" s="2" t="n">
        <v>44.71</v>
      </c>
      <c r="Q118" s="2" t="n">
        <v>57.44</v>
      </c>
      <c r="R118" s="2" t="s">
        <v>86</v>
      </c>
      <c r="S118" s="2" t="s">
        <v>110</v>
      </c>
    </row>
    <row r="119" customFormat="false" ht="15" hidden="false" customHeight="false" outlineLevel="0" collapsed="false">
      <c r="A119" s="2" t="s">
        <v>897</v>
      </c>
      <c r="B119" s="2" t="s">
        <v>898</v>
      </c>
      <c r="C119" s="2" t="s">
        <v>413</v>
      </c>
      <c r="D119" s="2" t="s">
        <v>899</v>
      </c>
      <c r="E119" s="2" t="s">
        <v>900</v>
      </c>
      <c r="F119" s="2" t="s">
        <v>149</v>
      </c>
      <c r="G119" s="2" t="s">
        <v>901</v>
      </c>
      <c r="H119" s="2" t="s">
        <v>140</v>
      </c>
      <c r="I119" s="2" t="s">
        <v>54</v>
      </c>
      <c r="J119" s="2" t="s">
        <v>129</v>
      </c>
      <c r="K119" s="2" t="s">
        <v>94</v>
      </c>
      <c r="L119" s="2" t="s">
        <v>210</v>
      </c>
      <c r="M119" s="2" t="s">
        <v>902</v>
      </c>
      <c r="N119" s="2" t="n">
        <v>3</v>
      </c>
      <c r="O119" s="2" t="n">
        <v>0.2</v>
      </c>
      <c r="P119" s="2" t="n">
        <v>21.87</v>
      </c>
      <c r="Q119" s="2" t="n">
        <v>38.43</v>
      </c>
      <c r="R119" s="2" t="s">
        <v>162</v>
      </c>
      <c r="S119" s="2" t="s">
        <v>33</v>
      </c>
    </row>
    <row r="120" customFormat="false" ht="15" hidden="false" customHeight="false" outlineLevel="0" collapsed="false">
      <c r="A120" s="2" t="s">
        <v>903</v>
      </c>
      <c r="B120" s="2" t="s">
        <v>904</v>
      </c>
      <c r="C120" s="2" t="s">
        <v>905</v>
      </c>
      <c r="D120" s="2" t="s">
        <v>906</v>
      </c>
      <c r="E120" s="2" t="s">
        <v>907</v>
      </c>
      <c r="F120" s="2" t="s">
        <v>149</v>
      </c>
      <c r="G120" s="2" t="s">
        <v>908</v>
      </c>
      <c r="H120" s="2" t="s">
        <v>53</v>
      </c>
      <c r="I120" s="2" t="s">
        <v>54</v>
      </c>
      <c r="J120" s="2" t="s">
        <v>55</v>
      </c>
      <c r="K120" s="2" t="s">
        <v>44</v>
      </c>
      <c r="L120" s="2" t="s">
        <v>300</v>
      </c>
      <c r="M120" s="2" t="s">
        <v>909</v>
      </c>
      <c r="N120" s="2" t="n">
        <v>11</v>
      </c>
      <c r="O120" s="2" t="n">
        <v>0.15</v>
      </c>
      <c r="P120" s="2" t="n">
        <v>36.21</v>
      </c>
      <c r="Q120" s="2" t="n">
        <v>42.64</v>
      </c>
      <c r="R120" s="2" t="s">
        <v>162</v>
      </c>
      <c r="S120" s="2" t="s">
        <v>33</v>
      </c>
    </row>
    <row r="121" customFormat="false" ht="15" hidden="false" customHeight="false" outlineLevel="0" collapsed="false">
      <c r="A121" s="2" t="s">
        <v>910</v>
      </c>
      <c r="B121" s="2" t="s">
        <v>911</v>
      </c>
      <c r="C121" s="2" t="s">
        <v>912</v>
      </c>
      <c r="D121" s="2" t="s">
        <v>913</v>
      </c>
      <c r="E121" s="2" t="s">
        <v>914</v>
      </c>
      <c r="F121" s="2" t="s">
        <v>66</v>
      </c>
      <c r="G121" s="2" t="s">
        <v>915</v>
      </c>
      <c r="H121" s="2" t="s">
        <v>259</v>
      </c>
      <c r="I121" s="2" t="s">
        <v>106</v>
      </c>
      <c r="J121" s="2" t="s">
        <v>82</v>
      </c>
      <c r="K121" s="2" t="s">
        <v>118</v>
      </c>
      <c r="L121" s="2" t="s">
        <v>119</v>
      </c>
      <c r="M121" s="2" t="s">
        <v>916</v>
      </c>
      <c r="N121" s="2" t="n">
        <v>12</v>
      </c>
      <c r="O121" s="2" t="n">
        <v>0.5</v>
      </c>
      <c r="P121" s="2" t="n">
        <v>-1914</v>
      </c>
      <c r="Q121" s="2" t="n">
        <v>56.9</v>
      </c>
      <c r="R121" s="2" t="s">
        <v>121</v>
      </c>
      <c r="S121" s="2" t="s">
        <v>33</v>
      </c>
    </row>
    <row r="122" customFormat="false" ht="15" hidden="false" customHeight="false" outlineLevel="0" collapsed="false">
      <c r="A122" s="2" t="s">
        <v>917</v>
      </c>
      <c r="B122" s="2" t="s">
        <v>918</v>
      </c>
      <c r="C122" s="2" t="s">
        <v>919</v>
      </c>
      <c r="D122" s="2" t="s">
        <v>920</v>
      </c>
      <c r="E122" s="2" t="s">
        <v>921</v>
      </c>
      <c r="F122" s="2" t="s">
        <v>66</v>
      </c>
      <c r="G122" s="2" t="s">
        <v>922</v>
      </c>
      <c r="H122" s="2" t="s">
        <v>53</v>
      </c>
      <c r="I122" s="2" t="s">
        <v>54</v>
      </c>
      <c r="J122" s="2" t="s">
        <v>55</v>
      </c>
      <c r="K122" s="2" t="s">
        <v>44</v>
      </c>
      <c r="L122" s="2" t="s">
        <v>300</v>
      </c>
      <c r="M122" s="2" t="s">
        <v>923</v>
      </c>
      <c r="N122" s="2" t="n">
        <v>1</v>
      </c>
      <c r="O122" s="2" t="n">
        <v>0.1</v>
      </c>
      <c r="P122" s="2" t="n">
        <v>19.2</v>
      </c>
      <c r="Q122" s="2" t="n">
        <v>22.87</v>
      </c>
      <c r="R122" s="2" t="s">
        <v>72</v>
      </c>
      <c r="S122" s="2" t="s">
        <v>60</v>
      </c>
    </row>
    <row r="123" customFormat="false" ht="15" hidden="false" customHeight="false" outlineLevel="0" collapsed="false">
      <c r="A123" s="2" t="s">
        <v>924</v>
      </c>
      <c r="B123" s="2" t="s">
        <v>925</v>
      </c>
      <c r="C123" s="2" t="s">
        <v>926</v>
      </c>
      <c r="D123" s="2" t="s">
        <v>927</v>
      </c>
      <c r="E123" s="2" t="s">
        <v>928</v>
      </c>
      <c r="F123" s="2" t="s">
        <v>66</v>
      </c>
      <c r="G123" s="2" t="s">
        <v>595</v>
      </c>
      <c r="H123" s="2" t="s">
        <v>140</v>
      </c>
      <c r="I123" s="2" t="s">
        <v>54</v>
      </c>
      <c r="J123" s="2" t="s">
        <v>55</v>
      </c>
      <c r="K123" s="2" t="s">
        <v>69</v>
      </c>
      <c r="L123" s="2" t="s">
        <v>417</v>
      </c>
      <c r="M123" s="2" t="s">
        <v>929</v>
      </c>
      <c r="N123" s="2" t="n">
        <v>4</v>
      </c>
      <c r="O123" s="2" t="n">
        <v>0.3</v>
      </c>
      <c r="P123" s="2" t="n">
        <v>8.36</v>
      </c>
      <c r="Q123" s="2" t="n">
        <v>29.4</v>
      </c>
      <c r="R123" s="2" t="s">
        <v>697</v>
      </c>
      <c r="S123" s="2" t="s">
        <v>73</v>
      </c>
    </row>
    <row r="124" customFormat="false" ht="15" hidden="false" customHeight="false" outlineLevel="0" collapsed="false">
      <c r="A124" s="2" t="s">
        <v>930</v>
      </c>
      <c r="B124" s="2" t="s">
        <v>931</v>
      </c>
      <c r="C124" s="2" t="s">
        <v>932</v>
      </c>
      <c r="D124" s="2" t="s">
        <v>933</v>
      </c>
      <c r="E124" s="2" t="s">
        <v>934</v>
      </c>
      <c r="F124" s="2" t="s">
        <v>66</v>
      </c>
      <c r="G124" s="2" t="s">
        <v>25</v>
      </c>
      <c r="H124" s="2" t="s">
        <v>26</v>
      </c>
      <c r="I124" s="2" t="s">
        <v>27</v>
      </c>
      <c r="J124" s="2" t="s">
        <v>43</v>
      </c>
      <c r="K124" s="2" t="s">
        <v>277</v>
      </c>
      <c r="L124" s="2" t="s">
        <v>278</v>
      </c>
      <c r="M124" s="2" t="s">
        <v>935</v>
      </c>
      <c r="N124" s="2" t="n">
        <v>8</v>
      </c>
      <c r="O124" s="2" t="n">
        <v>0</v>
      </c>
      <c r="P124" s="2" t="n">
        <v>594.24</v>
      </c>
      <c r="Q124" s="2" t="n">
        <v>13.72</v>
      </c>
      <c r="R124" s="2" t="s">
        <v>72</v>
      </c>
      <c r="S124" s="2"/>
    </row>
    <row r="125" customFormat="false" ht="15" hidden="false" customHeight="false" outlineLevel="0" collapsed="false">
      <c r="A125" s="2" t="s">
        <v>936</v>
      </c>
      <c r="B125" s="2" t="s">
        <v>937</v>
      </c>
      <c r="C125" s="2" t="s">
        <v>938</v>
      </c>
      <c r="D125" s="2" t="s">
        <v>939</v>
      </c>
      <c r="E125" s="2" t="s">
        <v>940</v>
      </c>
      <c r="F125" s="2" t="s">
        <v>66</v>
      </c>
      <c r="G125" s="2" t="s">
        <v>595</v>
      </c>
      <c r="H125" s="2" t="s">
        <v>140</v>
      </c>
      <c r="I125" s="2" t="s">
        <v>54</v>
      </c>
      <c r="J125" s="2" t="s">
        <v>343</v>
      </c>
      <c r="K125" s="2" t="s">
        <v>29</v>
      </c>
      <c r="L125" s="2" t="s">
        <v>30</v>
      </c>
      <c r="M125" s="2" t="s">
        <v>941</v>
      </c>
      <c r="N125" s="2" t="n">
        <v>12</v>
      </c>
      <c r="O125" s="2" t="n">
        <v>0.1</v>
      </c>
      <c r="P125" s="2" t="n">
        <v>1792.39</v>
      </c>
      <c r="Q125" s="2" t="n">
        <v>31.32</v>
      </c>
      <c r="R125" s="2" t="s">
        <v>86</v>
      </c>
      <c r="S125" s="2" t="s">
        <v>110</v>
      </c>
    </row>
    <row r="126" customFormat="false" ht="15" hidden="false" customHeight="false" outlineLevel="0" collapsed="false">
      <c r="A126" s="2" t="s">
        <v>942</v>
      </c>
      <c r="B126" s="2" t="s">
        <v>943</v>
      </c>
      <c r="C126" s="2" t="s">
        <v>944</v>
      </c>
      <c r="D126" s="2" t="s">
        <v>945</v>
      </c>
      <c r="E126" s="2" t="s">
        <v>946</v>
      </c>
      <c r="F126" s="2" t="s">
        <v>103</v>
      </c>
      <c r="G126" s="2" t="s">
        <v>595</v>
      </c>
      <c r="H126" s="2" t="s">
        <v>140</v>
      </c>
      <c r="I126" s="2" t="s">
        <v>54</v>
      </c>
      <c r="J126" s="2" t="s">
        <v>82</v>
      </c>
      <c r="K126" s="2" t="s">
        <v>118</v>
      </c>
      <c r="L126" s="2" t="s">
        <v>260</v>
      </c>
      <c r="M126" s="2" t="s">
        <v>947</v>
      </c>
      <c r="N126" s="2" t="n">
        <v>12</v>
      </c>
      <c r="O126" s="2" t="n">
        <v>0.1</v>
      </c>
      <c r="P126" s="2" t="n">
        <v>3168.58</v>
      </c>
      <c r="Q126" s="2" t="n">
        <v>26.46</v>
      </c>
      <c r="R126" s="2" t="s">
        <v>97</v>
      </c>
      <c r="S126" s="2" t="s">
        <v>33</v>
      </c>
    </row>
    <row r="127" customFormat="false" ht="15" hidden="false" customHeight="false" outlineLevel="0" collapsed="false">
      <c r="A127" s="2" t="s">
        <v>948</v>
      </c>
      <c r="B127" s="2" t="s">
        <v>949</v>
      </c>
      <c r="C127" s="2" t="s">
        <v>950</v>
      </c>
      <c r="D127" s="2" t="s">
        <v>951</v>
      </c>
      <c r="E127" s="2" t="s">
        <v>952</v>
      </c>
      <c r="F127" s="2" t="s">
        <v>39</v>
      </c>
      <c r="G127" s="2" t="s">
        <v>652</v>
      </c>
      <c r="H127" s="2" t="s">
        <v>160</v>
      </c>
      <c r="I127" s="2" t="s">
        <v>27</v>
      </c>
      <c r="J127" s="2" t="s">
        <v>43</v>
      </c>
      <c r="K127" s="2" t="s">
        <v>44</v>
      </c>
      <c r="L127" s="2" t="s">
        <v>45</v>
      </c>
      <c r="M127" s="2" t="s">
        <v>953</v>
      </c>
      <c r="N127" s="2" t="n">
        <v>5</v>
      </c>
      <c r="O127" s="2" t="n">
        <v>0.3</v>
      </c>
      <c r="P127" s="2" t="n">
        <v>45.83</v>
      </c>
      <c r="Q127" s="2" t="n">
        <v>34.39</v>
      </c>
      <c r="R127" s="2" t="s">
        <v>59</v>
      </c>
      <c r="S127" s="2" t="s">
        <v>110</v>
      </c>
    </row>
    <row r="128" customFormat="false" ht="15" hidden="false" customHeight="false" outlineLevel="0" collapsed="false">
      <c r="A128" s="2" t="s">
        <v>954</v>
      </c>
      <c r="B128" s="2" t="s">
        <v>955</v>
      </c>
      <c r="C128" s="2" t="s">
        <v>956</v>
      </c>
      <c r="D128" s="2" t="s">
        <v>957</v>
      </c>
      <c r="E128" s="2" t="s">
        <v>958</v>
      </c>
      <c r="F128" s="2" t="s">
        <v>66</v>
      </c>
      <c r="G128" s="2" t="s">
        <v>850</v>
      </c>
      <c r="H128" s="2" t="s">
        <v>128</v>
      </c>
      <c r="I128" s="2" t="s">
        <v>42</v>
      </c>
      <c r="J128" s="2" t="s">
        <v>82</v>
      </c>
      <c r="K128" s="2" t="s">
        <v>29</v>
      </c>
      <c r="L128" s="2" t="s">
        <v>30</v>
      </c>
      <c r="M128" s="2" t="s">
        <v>959</v>
      </c>
      <c r="N128" s="2" t="n">
        <v>9</v>
      </c>
      <c r="O128" s="2" t="n">
        <v>0</v>
      </c>
      <c r="P128" s="2" t="n">
        <v>834.38</v>
      </c>
      <c r="Q128" s="2" t="n">
        <v>51.21</v>
      </c>
      <c r="R128" s="2" t="s">
        <v>133</v>
      </c>
      <c r="S128" s="2" t="s">
        <v>33</v>
      </c>
    </row>
    <row r="129" customFormat="false" ht="15" hidden="false" customHeight="false" outlineLevel="0" collapsed="false">
      <c r="A129" s="2" t="s">
        <v>960</v>
      </c>
      <c r="B129" s="2" t="s">
        <v>961</v>
      </c>
      <c r="C129" s="2" t="s">
        <v>962</v>
      </c>
      <c r="D129" s="2" t="s">
        <v>963</v>
      </c>
      <c r="E129" s="2" t="s">
        <v>964</v>
      </c>
      <c r="F129" s="2" t="s">
        <v>103</v>
      </c>
      <c r="G129" s="2" t="s">
        <v>508</v>
      </c>
      <c r="H129" s="2" t="s">
        <v>480</v>
      </c>
      <c r="I129" s="2" t="s">
        <v>54</v>
      </c>
      <c r="J129" s="2" t="s">
        <v>93</v>
      </c>
      <c r="K129" s="2" t="s">
        <v>141</v>
      </c>
      <c r="L129" s="2" t="s">
        <v>269</v>
      </c>
      <c r="M129" s="2" t="s">
        <v>965</v>
      </c>
      <c r="N129" s="2" t="n">
        <v>5</v>
      </c>
      <c r="O129" s="2" t="n">
        <v>0</v>
      </c>
      <c r="P129" s="2" t="n">
        <v>91.96</v>
      </c>
      <c r="Q129" s="2" t="n">
        <v>37.9</v>
      </c>
      <c r="R129" s="2" t="s">
        <v>162</v>
      </c>
      <c r="S129" s="2" t="s">
        <v>33</v>
      </c>
    </row>
    <row r="130" customFormat="false" ht="15" hidden="false" customHeight="false" outlineLevel="0" collapsed="false">
      <c r="A130" s="2" t="s">
        <v>966</v>
      </c>
      <c r="B130" s="2" t="s">
        <v>967</v>
      </c>
      <c r="C130" s="2" t="s">
        <v>968</v>
      </c>
      <c r="D130" s="2" t="s">
        <v>969</v>
      </c>
      <c r="E130" s="2" t="s">
        <v>970</v>
      </c>
      <c r="F130" s="2" t="s">
        <v>24</v>
      </c>
      <c r="G130" s="2" t="s">
        <v>971</v>
      </c>
      <c r="H130" s="2" t="s">
        <v>105</v>
      </c>
      <c r="I130" s="2" t="s">
        <v>106</v>
      </c>
      <c r="J130" s="2" t="s">
        <v>343</v>
      </c>
      <c r="K130" s="2" t="s">
        <v>29</v>
      </c>
      <c r="L130" s="2" t="s">
        <v>374</v>
      </c>
      <c r="M130" s="2" t="s">
        <v>972</v>
      </c>
      <c r="N130" s="2" t="n">
        <v>8</v>
      </c>
      <c r="O130" s="2" t="n">
        <v>0.15</v>
      </c>
      <c r="P130" s="2" t="n">
        <v>518.18</v>
      </c>
      <c r="Q130" s="2" t="n">
        <v>20.5</v>
      </c>
      <c r="R130" s="2" t="s">
        <v>181</v>
      </c>
      <c r="S130" s="2" t="s">
        <v>73</v>
      </c>
    </row>
    <row r="131" customFormat="false" ht="15" hidden="false" customHeight="false" outlineLevel="0" collapsed="false">
      <c r="A131" s="2" t="s">
        <v>973</v>
      </c>
      <c r="B131" s="2" t="s">
        <v>974</v>
      </c>
      <c r="C131" s="2" t="s">
        <v>975</v>
      </c>
      <c r="D131" s="2" t="s">
        <v>976</v>
      </c>
      <c r="E131" s="2" t="s">
        <v>977</v>
      </c>
      <c r="F131" s="2" t="s">
        <v>179</v>
      </c>
      <c r="G131" s="2" t="s">
        <v>52</v>
      </c>
      <c r="H131" s="2" t="s">
        <v>53</v>
      </c>
      <c r="I131" s="2" t="s">
        <v>54</v>
      </c>
      <c r="J131" s="2" t="s">
        <v>562</v>
      </c>
      <c r="K131" s="2" t="s">
        <v>118</v>
      </c>
      <c r="L131" s="2" t="s">
        <v>260</v>
      </c>
      <c r="M131" s="2" t="s">
        <v>978</v>
      </c>
      <c r="N131" s="2" t="n">
        <v>2</v>
      </c>
      <c r="O131" s="2" t="n">
        <v>0.1</v>
      </c>
      <c r="P131" s="2" t="n">
        <v>48.1</v>
      </c>
      <c r="Q131" s="2" t="n">
        <v>44.75</v>
      </c>
      <c r="R131" s="2" t="s">
        <v>59</v>
      </c>
      <c r="S131" s="2" t="s">
        <v>110</v>
      </c>
    </row>
    <row r="132" customFormat="false" ht="15" hidden="false" customHeight="false" outlineLevel="0" collapsed="false">
      <c r="A132" s="2" t="s">
        <v>979</v>
      </c>
      <c r="B132" s="2" t="s">
        <v>980</v>
      </c>
      <c r="C132" s="2" t="s">
        <v>981</v>
      </c>
      <c r="D132" s="2" t="s">
        <v>982</v>
      </c>
      <c r="E132" s="2" t="s">
        <v>983</v>
      </c>
      <c r="F132" s="2" t="s">
        <v>267</v>
      </c>
      <c r="G132" s="2" t="s">
        <v>595</v>
      </c>
      <c r="H132" s="2" t="s">
        <v>140</v>
      </c>
      <c r="I132" s="2" t="s">
        <v>54</v>
      </c>
      <c r="J132" s="2" t="s">
        <v>55</v>
      </c>
      <c r="K132" s="2" t="s">
        <v>56</v>
      </c>
      <c r="L132" s="2" t="s">
        <v>57</v>
      </c>
      <c r="M132" s="2" t="s">
        <v>984</v>
      </c>
      <c r="N132" s="2" t="n">
        <v>1</v>
      </c>
      <c r="O132" s="2" t="n">
        <v>0.1</v>
      </c>
      <c r="P132" s="2" t="n">
        <v>18.07</v>
      </c>
      <c r="Q132" s="2" t="n">
        <v>56.31</v>
      </c>
      <c r="R132" s="2" t="s">
        <v>86</v>
      </c>
      <c r="S132" s="2" t="s">
        <v>73</v>
      </c>
    </row>
    <row r="133" customFormat="false" ht="15" hidden="false" customHeight="false" outlineLevel="0" collapsed="false">
      <c r="A133" s="2" t="s">
        <v>985</v>
      </c>
      <c r="B133" s="2" t="s">
        <v>986</v>
      </c>
      <c r="C133" s="2" t="s">
        <v>987</v>
      </c>
      <c r="D133" s="2" t="s">
        <v>988</v>
      </c>
      <c r="E133" s="2" t="s">
        <v>989</v>
      </c>
      <c r="F133" s="2" t="s">
        <v>24</v>
      </c>
      <c r="G133" s="2" t="s">
        <v>990</v>
      </c>
      <c r="H133" s="2" t="s">
        <v>169</v>
      </c>
      <c r="I133" s="2" t="s">
        <v>106</v>
      </c>
      <c r="J133" s="2" t="s">
        <v>43</v>
      </c>
      <c r="K133" s="2" t="s">
        <v>44</v>
      </c>
      <c r="L133" s="2" t="s">
        <v>45</v>
      </c>
      <c r="M133" s="2" t="s">
        <v>991</v>
      </c>
      <c r="N133" s="2" t="n">
        <v>12</v>
      </c>
      <c r="O133" s="2" t="n">
        <v>0.3</v>
      </c>
      <c r="P133" s="2" t="n">
        <v>-1019.28</v>
      </c>
      <c r="Q133" s="2" t="n">
        <v>9.17</v>
      </c>
      <c r="R133" s="2" t="s">
        <v>992</v>
      </c>
      <c r="S133" s="2" t="s">
        <v>60</v>
      </c>
    </row>
    <row r="134" customFormat="false" ht="15" hidden="false" customHeight="false" outlineLevel="0" collapsed="false">
      <c r="A134" s="2" t="s">
        <v>993</v>
      </c>
      <c r="B134" s="2" t="s">
        <v>994</v>
      </c>
      <c r="C134" s="2" t="s">
        <v>995</v>
      </c>
      <c r="D134" s="2" t="s">
        <v>996</v>
      </c>
      <c r="E134" s="2" t="s">
        <v>997</v>
      </c>
      <c r="F134" s="2" t="s">
        <v>594</v>
      </c>
      <c r="G134" s="2" t="s">
        <v>998</v>
      </c>
      <c r="H134" s="2" t="s">
        <v>41</v>
      </c>
      <c r="I134" s="2" t="s">
        <v>42</v>
      </c>
      <c r="J134" s="2" t="s">
        <v>55</v>
      </c>
      <c r="K134" s="2" t="s">
        <v>277</v>
      </c>
      <c r="L134" s="2" t="s">
        <v>613</v>
      </c>
      <c r="M134" s="2" t="s">
        <v>999</v>
      </c>
      <c r="N134" s="2" t="n">
        <v>3</v>
      </c>
      <c r="O134" s="2" t="n">
        <v>0.5</v>
      </c>
      <c r="P134" s="2" t="n">
        <v>-300.39</v>
      </c>
      <c r="Q134" s="2" t="n">
        <v>57.52</v>
      </c>
      <c r="R134" s="2" t="s">
        <v>121</v>
      </c>
      <c r="S134" s="2" t="s">
        <v>33</v>
      </c>
    </row>
    <row r="135" customFormat="false" ht="15" hidden="false" customHeight="false" outlineLevel="0" collapsed="false">
      <c r="A135" s="2" t="s">
        <v>1000</v>
      </c>
      <c r="B135" s="2" t="s">
        <v>1001</v>
      </c>
      <c r="C135" s="2" t="s">
        <v>1002</v>
      </c>
      <c r="D135" s="2" t="s">
        <v>265</v>
      </c>
      <c r="E135" s="2" t="s">
        <v>266</v>
      </c>
      <c r="F135" s="2" t="s">
        <v>39</v>
      </c>
      <c r="G135" s="2" t="s">
        <v>372</v>
      </c>
      <c r="H135" s="2" t="s">
        <v>373</v>
      </c>
      <c r="I135" s="2" t="s">
        <v>27</v>
      </c>
      <c r="J135" s="2" t="s">
        <v>343</v>
      </c>
      <c r="K135" s="2" t="s">
        <v>83</v>
      </c>
      <c r="L135" s="2" t="s">
        <v>431</v>
      </c>
      <c r="M135" s="2" t="s">
        <v>1003</v>
      </c>
      <c r="N135" s="2" t="n">
        <v>6</v>
      </c>
      <c r="O135" s="2" t="n">
        <v>0.5</v>
      </c>
      <c r="P135" s="2" t="n">
        <v>-351.55</v>
      </c>
      <c r="Q135" s="2" t="n">
        <v>2.29</v>
      </c>
      <c r="R135" s="2" t="s">
        <v>162</v>
      </c>
      <c r="S135" s="2" t="s">
        <v>33</v>
      </c>
    </row>
    <row r="136" customFormat="false" ht="15" hidden="false" customHeight="false" outlineLevel="0" collapsed="false">
      <c r="A136" s="2" t="s">
        <v>1004</v>
      </c>
      <c r="B136" s="2" t="s">
        <v>1005</v>
      </c>
      <c r="C136" s="2" t="s">
        <v>1006</v>
      </c>
      <c r="D136" s="2" t="s">
        <v>1007</v>
      </c>
      <c r="E136" s="2" t="s">
        <v>1008</v>
      </c>
      <c r="F136" s="2" t="s">
        <v>103</v>
      </c>
      <c r="G136" s="2" t="s">
        <v>1009</v>
      </c>
      <c r="H136" s="2" t="s">
        <v>365</v>
      </c>
      <c r="I136" s="2" t="s">
        <v>106</v>
      </c>
      <c r="J136" s="2" t="s">
        <v>28</v>
      </c>
      <c r="K136" s="2" t="s">
        <v>118</v>
      </c>
      <c r="L136" s="2" t="s">
        <v>260</v>
      </c>
      <c r="M136" s="2" t="s">
        <v>1010</v>
      </c>
      <c r="N136" s="2" t="n">
        <v>12</v>
      </c>
      <c r="O136" s="2" t="n">
        <v>0</v>
      </c>
      <c r="P136" s="2" t="n">
        <v>312.33</v>
      </c>
      <c r="Q136" s="2" t="n">
        <v>11.82</v>
      </c>
      <c r="R136" s="2" t="s">
        <v>190</v>
      </c>
      <c r="S136" s="2" t="s">
        <v>73</v>
      </c>
    </row>
    <row r="137" customFormat="false" ht="15" hidden="false" customHeight="false" outlineLevel="0" collapsed="false">
      <c r="A137" s="2" t="s">
        <v>1011</v>
      </c>
      <c r="B137" s="2" t="s">
        <v>1012</v>
      </c>
      <c r="C137" s="2" t="s">
        <v>1013</v>
      </c>
      <c r="D137" s="2" t="s">
        <v>1014</v>
      </c>
      <c r="E137" s="2" t="s">
        <v>1015</v>
      </c>
      <c r="F137" s="2" t="s">
        <v>179</v>
      </c>
      <c r="G137" s="2" t="s">
        <v>52</v>
      </c>
      <c r="H137" s="2" t="s">
        <v>53</v>
      </c>
      <c r="I137" s="2" t="s">
        <v>54</v>
      </c>
      <c r="J137" s="2" t="s">
        <v>343</v>
      </c>
      <c r="K137" s="2" t="s">
        <v>29</v>
      </c>
      <c r="L137" s="2" t="s">
        <v>30</v>
      </c>
      <c r="M137" s="2" t="s">
        <v>1016</v>
      </c>
      <c r="N137" s="2" t="n">
        <v>6</v>
      </c>
      <c r="O137" s="2" t="n">
        <v>0.3</v>
      </c>
      <c r="P137" s="2" t="n">
        <v>48.02</v>
      </c>
      <c r="Q137" s="2" t="n">
        <v>41.6</v>
      </c>
      <c r="R137" s="2" t="s">
        <v>109</v>
      </c>
      <c r="S137" s="2" t="s">
        <v>110</v>
      </c>
    </row>
    <row r="138" customFormat="false" ht="15" hidden="false" customHeight="false" outlineLevel="0" collapsed="false">
      <c r="A138" s="2" t="s">
        <v>1017</v>
      </c>
      <c r="B138" s="2" t="s">
        <v>1018</v>
      </c>
      <c r="C138" s="2" t="s">
        <v>1019</v>
      </c>
      <c r="D138" s="2" t="s">
        <v>1020</v>
      </c>
      <c r="E138" s="2" t="s">
        <v>1021</v>
      </c>
      <c r="F138" s="2" t="s">
        <v>39</v>
      </c>
      <c r="G138" s="2" t="s">
        <v>1022</v>
      </c>
      <c r="H138" s="2" t="s">
        <v>68</v>
      </c>
      <c r="I138" s="2" t="s">
        <v>42</v>
      </c>
      <c r="J138" s="2" t="s">
        <v>55</v>
      </c>
      <c r="K138" s="2" t="s">
        <v>69</v>
      </c>
      <c r="L138" s="2" t="s">
        <v>70</v>
      </c>
      <c r="M138" s="2" t="s">
        <v>1023</v>
      </c>
      <c r="N138" s="2" t="n">
        <v>5</v>
      </c>
      <c r="O138" s="2" t="n">
        <v>0.15</v>
      </c>
      <c r="P138" s="2" t="n">
        <v>68.3</v>
      </c>
      <c r="Q138" s="2" t="n">
        <v>40.24</v>
      </c>
      <c r="R138" s="2" t="s">
        <v>440</v>
      </c>
      <c r="S138" s="2" t="s">
        <v>33</v>
      </c>
    </row>
    <row r="139" customFormat="false" ht="15" hidden="false" customHeight="false" outlineLevel="0" collapsed="false">
      <c r="A139" s="2" t="s">
        <v>1024</v>
      </c>
      <c r="B139" s="2" t="s">
        <v>725</v>
      </c>
      <c r="C139" s="2" t="s">
        <v>1025</v>
      </c>
      <c r="D139" s="2" t="s">
        <v>1026</v>
      </c>
      <c r="E139" s="2" t="s">
        <v>1027</v>
      </c>
      <c r="F139" s="2" t="s">
        <v>149</v>
      </c>
      <c r="G139" s="2" t="s">
        <v>298</v>
      </c>
      <c r="H139" s="2" t="s">
        <v>299</v>
      </c>
      <c r="I139" s="2" t="s">
        <v>42</v>
      </c>
      <c r="J139" s="2" t="s">
        <v>55</v>
      </c>
      <c r="K139" s="2" t="s">
        <v>56</v>
      </c>
      <c r="L139" s="2" t="s">
        <v>307</v>
      </c>
      <c r="M139" s="2" t="s">
        <v>1028</v>
      </c>
      <c r="N139" s="2" t="n">
        <v>12</v>
      </c>
      <c r="O139" s="2" t="n">
        <v>0.3</v>
      </c>
      <c r="P139" s="2" t="n">
        <v>-285.56</v>
      </c>
      <c r="Q139" s="2" t="n">
        <v>58.36</v>
      </c>
      <c r="R139" s="2" t="s">
        <v>162</v>
      </c>
      <c r="S139" s="2" t="s">
        <v>60</v>
      </c>
    </row>
    <row r="140" customFormat="false" ht="15" hidden="false" customHeight="false" outlineLevel="0" collapsed="false">
      <c r="A140" s="2" t="s">
        <v>1029</v>
      </c>
      <c r="B140" s="2" t="s">
        <v>1030</v>
      </c>
      <c r="C140" s="2" t="s">
        <v>1031</v>
      </c>
      <c r="D140" s="2" t="s">
        <v>1032</v>
      </c>
      <c r="E140" s="2" t="s">
        <v>1033</v>
      </c>
      <c r="F140" s="2" t="s">
        <v>24</v>
      </c>
      <c r="G140" s="2" t="s">
        <v>728</v>
      </c>
      <c r="H140" s="2" t="s">
        <v>209</v>
      </c>
      <c r="I140" s="2" t="s">
        <v>27</v>
      </c>
      <c r="J140" s="2" t="s">
        <v>55</v>
      </c>
      <c r="K140" s="2" t="s">
        <v>56</v>
      </c>
      <c r="L140" s="2" t="s">
        <v>307</v>
      </c>
      <c r="M140" s="2" t="s">
        <v>1034</v>
      </c>
      <c r="N140" s="2" t="n">
        <v>8</v>
      </c>
      <c r="O140" s="2" t="n">
        <v>0</v>
      </c>
      <c r="P140" s="2" t="n">
        <v>285.59</v>
      </c>
      <c r="Q140" s="2" t="n">
        <v>6.69</v>
      </c>
      <c r="R140" s="2" t="s">
        <v>324</v>
      </c>
      <c r="S140" s="2" t="s">
        <v>33</v>
      </c>
    </row>
    <row r="141" customFormat="false" ht="15" hidden="false" customHeight="false" outlineLevel="0" collapsed="false">
      <c r="A141" s="2" t="s">
        <v>1035</v>
      </c>
      <c r="B141" s="2" t="s">
        <v>1036</v>
      </c>
      <c r="C141" s="2" t="s">
        <v>1037</v>
      </c>
      <c r="D141" s="2" t="s">
        <v>625</v>
      </c>
      <c r="E141" s="2" t="s">
        <v>626</v>
      </c>
      <c r="F141" s="2" t="s">
        <v>39</v>
      </c>
      <c r="G141" s="2" t="s">
        <v>728</v>
      </c>
      <c r="H141" s="2" t="s">
        <v>209</v>
      </c>
      <c r="I141" s="2" t="s">
        <v>27</v>
      </c>
      <c r="J141" s="2" t="s">
        <v>43</v>
      </c>
      <c r="K141" s="2" t="s">
        <v>277</v>
      </c>
      <c r="L141" s="2" t="s">
        <v>278</v>
      </c>
      <c r="M141" s="2" t="s">
        <v>1038</v>
      </c>
      <c r="N141" s="2" t="n">
        <v>2</v>
      </c>
      <c r="O141" s="2" t="n">
        <v>0.15</v>
      </c>
      <c r="P141" s="2" t="n">
        <v>6.28</v>
      </c>
      <c r="Q141" s="2" t="n">
        <v>14.04</v>
      </c>
      <c r="R141" s="2" t="s">
        <v>72</v>
      </c>
      <c r="S141" s="2" t="s">
        <v>60</v>
      </c>
    </row>
    <row r="142" customFormat="false" ht="15" hidden="false" customHeight="false" outlineLevel="0" collapsed="false">
      <c r="A142" s="2" t="s">
        <v>1039</v>
      </c>
      <c r="B142" s="2" t="s">
        <v>1040</v>
      </c>
      <c r="C142" s="2" t="s">
        <v>1041</v>
      </c>
      <c r="D142" s="2" t="s">
        <v>1042</v>
      </c>
      <c r="E142" s="2" t="s">
        <v>1043</v>
      </c>
      <c r="F142" s="2" t="s">
        <v>24</v>
      </c>
      <c r="G142" s="2" t="s">
        <v>116</v>
      </c>
      <c r="H142" s="2" t="s">
        <v>117</v>
      </c>
      <c r="I142" s="2" t="s">
        <v>27</v>
      </c>
      <c r="J142" s="2" t="s">
        <v>82</v>
      </c>
      <c r="K142" s="2" t="s">
        <v>234</v>
      </c>
      <c r="L142" s="2" t="s">
        <v>235</v>
      </c>
      <c r="M142" s="2" t="s">
        <v>1044</v>
      </c>
      <c r="N142" s="2" t="n">
        <v>11</v>
      </c>
      <c r="O142" s="2" t="n">
        <v>0.15</v>
      </c>
      <c r="P142" s="2" t="n">
        <v>204.58</v>
      </c>
      <c r="Q142" s="2" t="n">
        <v>20.92</v>
      </c>
      <c r="R142" s="2" t="s">
        <v>32</v>
      </c>
      <c r="S142" s="2" t="s">
        <v>73</v>
      </c>
    </row>
    <row r="143" customFormat="false" ht="15" hidden="false" customHeight="false" outlineLevel="0" collapsed="false">
      <c r="A143" s="2" t="s">
        <v>1045</v>
      </c>
      <c r="B143" s="2" t="s">
        <v>1046</v>
      </c>
      <c r="C143" s="2" t="s">
        <v>713</v>
      </c>
      <c r="D143" s="2" t="s">
        <v>1047</v>
      </c>
      <c r="E143" s="2" t="s">
        <v>1048</v>
      </c>
      <c r="F143" s="2" t="s">
        <v>179</v>
      </c>
      <c r="G143" s="2"/>
      <c r="H143" s="2" t="s">
        <v>480</v>
      </c>
      <c r="I143" s="2" t="s">
        <v>54</v>
      </c>
      <c r="J143" s="2" t="s">
        <v>244</v>
      </c>
      <c r="K143" s="2" t="s">
        <v>69</v>
      </c>
      <c r="L143" s="2" t="s">
        <v>417</v>
      </c>
      <c r="M143" s="2" t="s">
        <v>1049</v>
      </c>
      <c r="N143" s="2" t="n">
        <v>11</v>
      </c>
      <c r="O143" s="2" t="n">
        <v>0</v>
      </c>
      <c r="P143" s="2" t="n">
        <v>634.82</v>
      </c>
      <c r="Q143" s="2" t="n">
        <v>21.67</v>
      </c>
      <c r="R143" s="2" t="s">
        <v>324</v>
      </c>
      <c r="S143" s="2" t="s">
        <v>110</v>
      </c>
    </row>
    <row r="144" customFormat="false" ht="15" hidden="false" customHeight="false" outlineLevel="0" collapsed="false">
      <c r="A144" s="2" t="s">
        <v>1050</v>
      </c>
      <c r="B144" s="2" t="s">
        <v>1051</v>
      </c>
      <c r="C144" s="2" t="s">
        <v>1052</v>
      </c>
      <c r="D144" s="2" t="s">
        <v>1053</v>
      </c>
      <c r="E144" s="2" t="s">
        <v>1054</v>
      </c>
      <c r="F144" s="2" t="s">
        <v>79</v>
      </c>
      <c r="G144" s="2" t="s">
        <v>1055</v>
      </c>
      <c r="H144" s="2" t="s">
        <v>299</v>
      </c>
      <c r="I144" s="2" t="s">
        <v>42</v>
      </c>
      <c r="J144" s="2" t="s">
        <v>343</v>
      </c>
      <c r="K144" s="2" t="s">
        <v>118</v>
      </c>
      <c r="L144" s="2" t="s">
        <v>251</v>
      </c>
      <c r="M144" s="2" t="s">
        <v>1056</v>
      </c>
      <c r="N144" s="2" t="n">
        <v>1</v>
      </c>
      <c r="O144" s="2" t="n">
        <v>0.1</v>
      </c>
      <c r="P144" s="2" t="n">
        <v>90.79</v>
      </c>
      <c r="Q144" s="2" t="n">
        <v>42.98</v>
      </c>
      <c r="R144" s="2" t="s">
        <v>109</v>
      </c>
      <c r="S144" s="2" t="s">
        <v>33</v>
      </c>
    </row>
    <row r="145" customFormat="false" ht="15" hidden="false" customHeight="false" outlineLevel="0" collapsed="false">
      <c r="A145" s="2" t="s">
        <v>1057</v>
      </c>
      <c r="B145" s="2" t="s">
        <v>1058</v>
      </c>
      <c r="C145" s="2" t="s">
        <v>1059</v>
      </c>
      <c r="D145" s="2" t="s">
        <v>1060</v>
      </c>
      <c r="E145" s="2" t="s">
        <v>1061</v>
      </c>
      <c r="F145" s="2" t="s">
        <v>39</v>
      </c>
      <c r="G145" s="2"/>
      <c r="H145" s="2" t="s">
        <v>315</v>
      </c>
      <c r="I145" s="2" t="s">
        <v>54</v>
      </c>
      <c r="J145" s="2" t="s">
        <v>93</v>
      </c>
      <c r="K145" s="2" t="s">
        <v>199</v>
      </c>
      <c r="L145" s="2" t="s">
        <v>200</v>
      </c>
      <c r="M145" s="2" t="s">
        <v>1062</v>
      </c>
      <c r="N145" s="2" t="n">
        <v>10</v>
      </c>
      <c r="O145" s="2" t="n">
        <v>0.15</v>
      </c>
      <c r="P145" s="2" t="n">
        <v>9.84</v>
      </c>
      <c r="Q145" s="2" t="n">
        <v>38.49</v>
      </c>
      <c r="R145" s="2" t="s">
        <v>72</v>
      </c>
      <c r="S145" s="2" t="s">
        <v>33</v>
      </c>
    </row>
    <row r="146" customFormat="false" ht="15" hidden="false" customHeight="false" outlineLevel="0" collapsed="false">
      <c r="A146" s="2" t="s">
        <v>1063</v>
      </c>
      <c r="B146" s="2" t="s">
        <v>1064</v>
      </c>
      <c r="C146" s="2" t="s">
        <v>1065</v>
      </c>
      <c r="D146" s="2" t="s">
        <v>1066</v>
      </c>
      <c r="E146" s="2" t="s">
        <v>1067</v>
      </c>
      <c r="F146" s="2" t="s">
        <v>79</v>
      </c>
      <c r="G146" s="2" t="s">
        <v>1068</v>
      </c>
      <c r="H146" s="2" t="s">
        <v>53</v>
      </c>
      <c r="I146" s="2" t="s">
        <v>54</v>
      </c>
      <c r="J146" s="2" t="s">
        <v>387</v>
      </c>
      <c r="K146" s="2" t="s">
        <v>141</v>
      </c>
      <c r="L146" s="2" t="s">
        <v>142</v>
      </c>
      <c r="M146" s="2" t="s">
        <v>1069</v>
      </c>
      <c r="N146" s="2" t="n">
        <v>10</v>
      </c>
      <c r="O146" s="2" t="n">
        <v>0.5</v>
      </c>
      <c r="P146" s="2" t="n">
        <v>-40.14</v>
      </c>
      <c r="Q146" s="2" t="n">
        <v>24.72</v>
      </c>
      <c r="R146" s="2" t="s">
        <v>181</v>
      </c>
      <c r="S146" s="2" t="s">
        <v>73</v>
      </c>
    </row>
    <row r="147" customFormat="false" ht="15" hidden="false" customHeight="false" outlineLevel="0" collapsed="false">
      <c r="A147" s="2" t="s">
        <v>1070</v>
      </c>
      <c r="B147" s="2" t="s">
        <v>1071</v>
      </c>
      <c r="C147" s="2" t="s">
        <v>1072</v>
      </c>
      <c r="D147" s="2" t="s">
        <v>1073</v>
      </c>
      <c r="E147" s="2" t="s">
        <v>1074</v>
      </c>
      <c r="F147" s="2" t="s">
        <v>66</v>
      </c>
      <c r="G147" s="2" t="s">
        <v>1075</v>
      </c>
      <c r="H147" s="2" t="s">
        <v>225</v>
      </c>
      <c r="I147" s="2" t="s">
        <v>42</v>
      </c>
      <c r="J147" s="2" t="s">
        <v>93</v>
      </c>
      <c r="K147" s="2" t="s">
        <v>199</v>
      </c>
      <c r="L147" s="2" t="s">
        <v>789</v>
      </c>
      <c r="M147" s="2" t="s">
        <v>1076</v>
      </c>
      <c r="N147" s="2" t="n">
        <v>2</v>
      </c>
      <c r="O147" s="2" t="n">
        <v>0.2</v>
      </c>
      <c r="P147" s="2" t="n">
        <v>2.92</v>
      </c>
      <c r="Q147" s="2" t="n">
        <v>20.97</v>
      </c>
      <c r="R147" s="2" t="s">
        <v>86</v>
      </c>
      <c r="S147" s="2" t="s">
        <v>73</v>
      </c>
    </row>
    <row r="148" customFormat="false" ht="15" hidden="false" customHeight="false" outlineLevel="0" collapsed="false">
      <c r="A148" s="2" t="s">
        <v>1077</v>
      </c>
      <c r="B148" s="2" t="s">
        <v>1078</v>
      </c>
      <c r="C148" s="2" t="s">
        <v>1079</v>
      </c>
      <c r="D148" s="2" t="s">
        <v>1080</v>
      </c>
      <c r="E148" s="2" t="s">
        <v>1081</v>
      </c>
      <c r="F148" s="2" t="s">
        <v>24</v>
      </c>
      <c r="G148" s="2" t="s">
        <v>1082</v>
      </c>
      <c r="H148" s="2" t="s">
        <v>286</v>
      </c>
      <c r="I148" s="2" t="s">
        <v>54</v>
      </c>
      <c r="J148" s="2" t="s">
        <v>129</v>
      </c>
      <c r="K148" s="2" t="s">
        <v>141</v>
      </c>
      <c r="L148" s="2" t="s">
        <v>269</v>
      </c>
      <c r="M148" s="2" t="s">
        <v>1083</v>
      </c>
      <c r="N148" s="2" t="n">
        <v>11</v>
      </c>
      <c r="O148" s="2" t="n">
        <v>0</v>
      </c>
      <c r="P148" s="2" t="n">
        <v>14.93</v>
      </c>
      <c r="Q148" s="2" t="n">
        <v>26.41</v>
      </c>
      <c r="R148" s="2" t="s">
        <v>190</v>
      </c>
      <c r="S148" s="2" t="s">
        <v>110</v>
      </c>
    </row>
    <row r="149" customFormat="false" ht="15" hidden="false" customHeight="false" outlineLevel="0" collapsed="false">
      <c r="A149" s="2" t="s">
        <v>1084</v>
      </c>
      <c r="B149" s="2" t="s">
        <v>1085</v>
      </c>
      <c r="C149" s="2" t="s">
        <v>1086</v>
      </c>
      <c r="D149" s="2" t="s">
        <v>1087</v>
      </c>
      <c r="E149" s="2" t="s">
        <v>1088</v>
      </c>
      <c r="F149" s="2" t="s">
        <v>267</v>
      </c>
      <c r="G149" s="2" t="s">
        <v>652</v>
      </c>
      <c r="H149" s="2" t="s">
        <v>160</v>
      </c>
      <c r="I149" s="2" t="s">
        <v>27</v>
      </c>
      <c r="J149" s="2" t="s">
        <v>55</v>
      </c>
      <c r="K149" s="2" t="s">
        <v>56</v>
      </c>
      <c r="L149" s="2" t="s">
        <v>57</v>
      </c>
      <c r="M149" s="2" t="s">
        <v>1089</v>
      </c>
      <c r="N149" s="2" t="n">
        <v>7</v>
      </c>
      <c r="O149" s="2" t="n">
        <v>0</v>
      </c>
      <c r="P149" s="2" t="n">
        <v>406.11</v>
      </c>
      <c r="Q149" s="2" t="n">
        <v>26.05</v>
      </c>
      <c r="R149" s="2" t="s">
        <v>181</v>
      </c>
      <c r="S149" s="2" t="s">
        <v>110</v>
      </c>
    </row>
    <row r="150" customFormat="false" ht="15" hidden="false" customHeight="false" outlineLevel="0" collapsed="false">
      <c r="A150" s="2" t="s">
        <v>1090</v>
      </c>
      <c r="B150" s="2" t="s">
        <v>310</v>
      </c>
      <c r="C150" s="2" t="s">
        <v>1091</v>
      </c>
      <c r="D150" s="2" t="s">
        <v>1092</v>
      </c>
      <c r="E150" s="2" t="s">
        <v>1093</v>
      </c>
      <c r="F150" s="2" t="s">
        <v>149</v>
      </c>
      <c r="G150" s="2" t="s">
        <v>25</v>
      </c>
      <c r="H150" s="2" t="s">
        <v>26</v>
      </c>
      <c r="I150" s="2" t="s">
        <v>27</v>
      </c>
      <c r="J150" s="2" t="s">
        <v>93</v>
      </c>
      <c r="K150" s="2" t="s">
        <v>170</v>
      </c>
      <c r="L150" s="2" t="s">
        <v>226</v>
      </c>
      <c r="M150" s="2" t="s">
        <v>1094</v>
      </c>
      <c r="N150" s="2" t="n">
        <v>5</v>
      </c>
      <c r="O150" s="2" t="n">
        <v>0</v>
      </c>
      <c r="P150" s="2" t="n">
        <v>53.97</v>
      </c>
      <c r="Q150" s="2" t="n">
        <v>13.82</v>
      </c>
      <c r="R150" s="2" t="s">
        <v>72</v>
      </c>
      <c r="S150" s="2" t="s">
        <v>73</v>
      </c>
    </row>
    <row r="151" customFormat="false" ht="15" hidden="false" customHeight="false" outlineLevel="0" collapsed="false">
      <c r="A151" s="2" t="s">
        <v>1095</v>
      </c>
      <c r="B151" s="2" t="s">
        <v>1096</v>
      </c>
      <c r="C151" s="2" t="s">
        <v>1097</v>
      </c>
      <c r="D151" s="2" t="s">
        <v>1098</v>
      </c>
      <c r="E151" s="2" t="s">
        <v>1099</v>
      </c>
      <c r="F151" s="2" t="s">
        <v>149</v>
      </c>
      <c r="G151" s="2" t="s">
        <v>1100</v>
      </c>
      <c r="H151" s="2" t="s">
        <v>41</v>
      </c>
      <c r="I151" s="2" t="s">
        <v>42</v>
      </c>
      <c r="J151" s="2" t="s">
        <v>129</v>
      </c>
      <c r="K151" s="2" t="s">
        <v>170</v>
      </c>
      <c r="L151" s="2" t="s">
        <v>226</v>
      </c>
      <c r="M151" s="2" t="s">
        <v>1101</v>
      </c>
      <c r="N151" s="2" t="n">
        <v>7</v>
      </c>
      <c r="O151" s="2" t="n">
        <v>0.5</v>
      </c>
      <c r="P151" s="2" t="n">
        <v>-63.22</v>
      </c>
      <c r="Q151" s="2" t="n">
        <v>34.79</v>
      </c>
      <c r="R151" s="2" t="s">
        <v>324</v>
      </c>
      <c r="S151" s="2" t="s">
        <v>110</v>
      </c>
    </row>
    <row r="152" customFormat="false" ht="15" hidden="false" customHeight="false" outlineLevel="0" collapsed="false">
      <c r="A152" s="2" t="s">
        <v>1102</v>
      </c>
      <c r="B152" s="2" t="s">
        <v>1103</v>
      </c>
      <c r="C152" s="2" t="s">
        <v>1104</v>
      </c>
      <c r="D152" s="2" t="s">
        <v>1105</v>
      </c>
      <c r="E152" s="2" t="s">
        <v>1106</v>
      </c>
      <c r="F152" s="2" t="s">
        <v>149</v>
      </c>
      <c r="G152" s="2" t="s">
        <v>197</v>
      </c>
      <c r="H152" s="2" t="s">
        <v>198</v>
      </c>
      <c r="I152" s="2" t="s">
        <v>106</v>
      </c>
      <c r="J152" s="2" t="s">
        <v>93</v>
      </c>
      <c r="K152" s="2" t="s">
        <v>388</v>
      </c>
      <c r="L152" s="2" t="s">
        <v>465</v>
      </c>
      <c r="M152" s="2" t="s">
        <v>1107</v>
      </c>
      <c r="N152" s="2" t="n">
        <v>2</v>
      </c>
      <c r="O152" s="2" t="n">
        <v>0</v>
      </c>
      <c r="P152" s="2" t="n">
        <v>12.94</v>
      </c>
      <c r="Q152" s="2" t="n">
        <v>46.78</v>
      </c>
      <c r="R152" s="2" t="s">
        <v>47</v>
      </c>
      <c r="S152" s="2" t="s">
        <v>110</v>
      </c>
    </row>
    <row r="153" customFormat="false" ht="15" hidden="false" customHeight="false" outlineLevel="0" collapsed="false">
      <c r="A153" s="2" t="s">
        <v>1108</v>
      </c>
      <c r="B153" s="2" t="s">
        <v>1109</v>
      </c>
      <c r="C153" s="2" t="s">
        <v>1110</v>
      </c>
      <c r="D153" s="2" t="s">
        <v>637</v>
      </c>
      <c r="E153" s="2" t="s">
        <v>638</v>
      </c>
      <c r="F153" s="2" t="s">
        <v>39</v>
      </c>
      <c r="G153" s="2" t="s">
        <v>1111</v>
      </c>
      <c r="H153" s="2" t="s">
        <v>53</v>
      </c>
      <c r="I153" s="2" t="s">
        <v>54</v>
      </c>
      <c r="J153" s="2" t="s">
        <v>43</v>
      </c>
      <c r="K153" s="2" t="s">
        <v>44</v>
      </c>
      <c r="L153" s="2" t="s">
        <v>300</v>
      </c>
      <c r="M153" s="2" t="s">
        <v>1112</v>
      </c>
      <c r="N153" s="2" t="n">
        <v>3</v>
      </c>
      <c r="O153" s="2" t="n">
        <v>0.3</v>
      </c>
      <c r="P153" s="2" t="n">
        <v>-23.46</v>
      </c>
      <c r="Q153" s="2" t="n">
        <v>20.1</v>
      </c>
      <c r="R153" s="2" t="s">
        <v>47</v>
      </c>
      <c r="S153" s="2" t="s">
        <v>110</v>
      </c>
    </row>
    <row r="154" customFormat="false" ht="15" hidden="false" customHeight="false" outlineLevel="0" collapsed="false">
      <c r="A154" s="2" t="s">
        <v>1113</v>
      </c>
      <c r="B154" s="2" t="s">
        <v>1114</v>
      </c>
      <c r="C154" s="2" t="s">
        <v>1115</v>
      </c>
      <c r="D154" s="2" t="s">
        <v>1116</v>
      </c>
      <c r="E154" s="2" t="s">
        <v>1117</v>
      </c>
      <c r="F154" s="2" t="s">
        <v>66</v>
      </c>
      <c r="G154" s="2" t="s">
        <v>276</v>
      </c>
      <c r="H154" s="2" t="s">
        <v>26</v>
      </c>
      <c r="I154" s="2" t="s">
        <v>27</v>
      </c>
      <c r="J154" s="2" t="s">
        <v>244</v>
      </c>
      <c r="K154" s="2" t="s">
        <v>69</v>
      </c>
      <c r="L154" s="2" t="s">
        <v>417</v>
      </c>
      <c r="M154" s="2" t="s">
        <v>1118</v>
      </c>
      <c r="N154" s="2" t="n">
        <v>1</v>
      </c>
      <c r="O154" s="2" t="n">
        <v>0</v>
      </c>
      <c r="P154" s="2" t="n">
        <v>155.33</v>
      </c>
      <c r="Q154" s="2" t="n">
        <v>33.62</v>
      </c>
      <c r="R154" s="2" t="s">
        <v>181</v>
      </c>
      <c r="S154" s="2" t="s">
        <v>73</v>
      </c>
    </row>
    <row r="155" customFormat="false" ht="15" hidden="false" customHeight="false" outlineLevel="0" collapsed="false">
      <c r="A155" s="2" t="s">
        <v>1119</v>
      </c>
      <c r="B155" s="2" t="s">
        <v>1120</v>
      </c>
      <c r="C155" s="2" t="s">
        <v>1121</v>
      </c>
      <c r="D155" s="2" t="s">
        <v>1122</v>
      </c>
      <c r="E155" s="2" t="s">
        <v>1123</v>
      </c>
      <c r="F155" s="2" t="s">
        <v>196</v>
      </c>
      <c r="G155" s="2" t="s">
        <v>1124</v>
      </c>
      <c r="H155" s="2" t="s">
        <v>68</v>
      </c>
      <c r="I155" s="2" t="s">
        <v>42</v>
      </c>
      <c r="J155" s="2" t="s">
        <v>93</v>
      </c>
      <c r="K155" s="2" t="s">
        <v>170</v>
      </c>
      <c r="L155" s="2" t="s">
        <v>171</v>
      </c>
      <c r="M155" s="2" t="s">
        <v>1125</v>
      </c>
      <c r="N155" s="2" t="n">
        <v>12</v>
      </c>
      <c r="O155" s="2" t="n">
        <v>0.4</v>
      </c>
      <c r="P155" s="2" t="n">
        <v>-53.38</v>
      </c>
      <c r="Q155" s="2" t="n">
        <v>51.66</v>
      </c>
      <c r="R155" s="2" t="s">
        <v>32</v>
      </c>
      <c r="S155" s="2" t="s">
        <v>33</v>
      </c>
    </row>
    <row r="156" customFormat="false" ht="15" hidden="false" customHeight="false" outlineLevel="0" collapsed="false">
      <c r="A156" s="2" t="s">
        <v>1126</v>
      </c>
      <c r="B156" s="2" t="s">
        <v>1127</v>
      </c>
      <c r="C156" s="2" t="s">
        <v>1128</v>
      </c>
      <c r="D156" s="2" t="s">
        <v>751</v>
      </c>
      <c r="E156" s="2" t="s">
        <v>752</v>
      </c>
      <c r="F156" s="2" t="s">
        <v>782</v>
      </c>
      <c r="G156" s="2" t="s">
        <v>1129</v>
      </c>
      <c r="H156" s="2" t="s">
        <v>243</v>
      </c>
      <c r="I156" s="2" t="s">
        <v>54</v>
      </c>
      <c r="J156" s="2" t="s">
        <v>28</v>
      </c>
      <c r="K156" s="2" t="s">
        <v>118</v>
      </c>
      <c r="L156" s="2" t="s">
        <v>119</v>
      </c>
      <c r="M156" s="2" t="s">
        <v>1130</v>
      </c>
      <c r="N156" s="2" t="n">
        <v>8</v>
      </c>
      <c r="O156" s="2" t="n">
        <v>0.2</v>
      </c>
      <c r="P156" s="2" t="n">
        <v>-5.77</v>
      </c>
      <c r="Q156" s="2" t="n">
        <v>48.98</v>
      </c>
      <c r="R156" s="2" t="s">
        <v>72</v>
      </c>
      <c r="S156" s="2" t="s">
        <v>110</v>
      </c>
    </row>
    <row r="157" customFormat="false" ht="15" hidden="false" customHeight="false" outlineLevel="0" collapsed="false">
      <c r="A157" s="2" t="s">
        <v>1131</v>
      </c>
      <c r="B157" s="2" t="s">
        <v>1132</v>
      </c>
      <c r="C157" s="2" t="s">
        <v>1133</v>
      </c>
      <c r="D157" s="2" t="s">
        <v>1134</v>
      </c>
      <c r="E157" s="2" t="s">
        <v>1135</v>
      </c>
      <c r="F157" s="2" t="s">
        <v>24</v>
      </c>
      <c r="G157" s="2" t="s">
        <v>268</v>
      </c>
      <c r="H157" s="2" t="s">
        <v>259</v>
      </c>
      <c r="I157" s="2" t="s">
        <v>106</v>
      </c>
      <c r="J157" s="2" t="s">
        <v>562</v>
      </c>
      <c r="K157" s="2" t="s">
        <v>234</v>
      </c>
      <c r="L157" s="2" t="s">
        <v>235</v>
      </c>
      <c r="M157" s="2" t="s">
        <v>1136</v>
      </c>
      <c r="N157" s="2" t="n">
        <v>9</v>
      </c>
      <c r="O157" s="2" t="n">
        <v>0.4</v>
      </c>
      <c r="P157" s="2" t="n">
        <v>-680.4</v>
      </c>
      <c r="Q157" s="2" t="n">
        <v>44.88</v>
      </c>
      <c r="R157" s="2" t="s">
        <v>133</v>
      </c>
      <c r="S157" s="2" t="s">
        <v>110</v>
      </c>
    </row>
    <row r="158" customFormat="false" ht="15" hidden="false" customHeight="false" outlineLevel="0" collapsed="false">
      <c r="A158" s="2" t="s">
        <v>1137</v>
      </c>
      <c r="B158" s="2" t="s">
        <v>1138</v>
      </c>
      <c r="C158" s="2" t="s">
        <v>1139</v>
      </c>
      <c r="D158" s="2" t="s">
        <v>1140</v>
      </c>
      <c r="E158" s="2" t="s">
        <v>1141</v>
      </c>
      <c r="F158" s="2" t="s">
        <v>66</v>
      </c>
      <c r="G158" s="2" t="s">
        <v>1142</v>
      </c>
      <c r="H158" s="2" t="s">
        <v>286</v>
      </c>
      <c r="I158" s="2" t="s">
        <v>54</v>
      </c>
      <c r="J158" s="2" t="s">
        <v>244</v>
      </c>
      <c r="K158" s="2" t="s">
        <v>56</v>
      </c>
      <c r="L158" s="2" t="s">
        <v>57</v>
      </c>
      <c r="M158" s="2" t="s">
        <v>1143</v>
      </c>
      <c r="N158" s="2" t="n">
        <v>10</v>
      </c>
      <c r="O158" s="2" t="n">
        <v>0</v>
      </c>
      <c r="P158" s="2"/>
      <c r="Q158" s="2" t="n">
        <v>10.68</v>
      </c>
      <c r="R158" s="2" t="s">
        <v>992</v>
      </c>
      <c r="S158" s="2" t="s">
        <v>110</v>
      </c>
    </row>
    <row r="159" customFormat="false" ht="15" hidden="false" customHeight="false" outlineLevel="0" collapsed="false">
      <c r="A159" s="2" t="s">
        <v>1144</v>
      </c>
      <c r="B159" s="2" t="s">
        <v>1145</v>
      </c>
      <c r="C159" s="2" t="s">
        <v>1146</v>
      </c>
      <c r="D159" s="2" t="s">
        <v>1147</v>
      </c>
      <c r="E159" s="2" t="s">
        <v>1148</v>
      </c>
      <c r="F159" s="2" t="s">
        <v>103</v>
      </c>
      <c r="G159" s="2" t="s">
        <v>773</v>
      </c>
      <c r="H159" s="2" t="s">
        <v>41</v>
      </c>
      <c r="I159" s="2" t="s">
        <v>42</v>
      </c>
      <c r="J159" s="2" t="s">
        <v>562</v>
      </c>
      <c r="K159" s="2" t="s">
        <v>83</v>
      </c>
      <c r="L159" s="2" t="s">
        <v>84</v>
      </c>
      <c r="M159" s="2" t="s">
        <v>1149</v>
      </c>
      <c r="N159" s="2" t="n">
        <v>1</v>
      </c>
      <c r="O159" s="2" t="n">
        <v>0</v>
      </c>
      <c r="P159" s="2" t="n">
        <v>98.08</v>
      </c>
      <c r="Q159" s="2" t="n">
        <v>28.67</v>
      </c>
      <c r="R159" s="2" t="s">
        <v>109</v>
      </c>
      <c r="S159" s="2" t="s">
        <v>110</v>
      </c>
    </row>
    <row r="160" customFormat="false" ht="15" hidden="false" customHeight="false" outlineLevel="0" collapsed="false">
      <c r="A160" s="2" t="s">
        <v>1150</v>
      </c>
      <c r="B160" s="2" t="s">
        <v>1151</v>
      </c>
      <c r="C160" s="2" t="s">
        <v>1152</v>
      </c>
      <c r="D160" s="2" t="s">
        <v>1153</v>
      </c>
      <c r="E160" s="2" t="s">
        <v>1154</v>
      </c>
      <c r="F160" s="2" t="s">
        <v>782</v>
      </c>
      <c r="G160" s="2" t="s">
        <v>322</v>
      </c>
      <c r="H160" s="2" t="s">
        <v>117</v>
      </c>
      <c r="I160" s="2" t="s">
        <v>27</v>
      </c>
      <c r="J160" s="2" t="s">
        <v>387</v>
      </c>
      <c r="K160" s="2" t="s">
        <v>199</v>
      </c>
      <c r="L160" s="2" t="s">
        <v>789</v>
      </c>
      <c r="M160" s="2" t="s">
        <v>1155</v>
      </c>
      <c r="N160" s="2" t="n">
        <v>3</v>
      </c>
      <c r="O160" s="2" t="n">
        <v>0.5</v>
      </c>
      <c r="P160" s="2" t="n">
        <v>-17.15</v>
      </c>
      <c r="Q160" s="2" t="n">
        <v>41.59</v>
      </c>
      <c r="R160" s="2" t="s">
        <v>992</v>
      </c>
      <c r="S160" s="2" t="s">
        <v>73</v>
      </c>
    </row>
    <row r="161" customFormat="false" ht="15" hidden="false" customHeight="false" outlineLevel="0" collapsed="false">
      <c r="A161" s="2" t="s">
        <v>1156</v>
      </c>
      <c r="B161" s="2" t="s">
        <v>1157</v>
      </c>
      <c r="C161" s="2" t="s">
        <v>1158</v>
      </c>
      <c r="D161" s="2" t="s">
        <v>1159</v>
      </c>
      <c r="E161" s="2" t="s">
        <v>1160</v>
      </c>
      <c r="F161" s="2" t="s">
        <v>39</v>
      </c>
      <c r="G161" s="2" t="s">
        <v>521</v>
      </c>
      <c r="H161" s="2" t="s">
        <v>373</v>
      </c>
      <c r="I161" s="2" t="s">
        <v>27</v>
      </c>
      <c r="J161" s="2" t="s">
        <v>82</v>
      </c>
      <c r="K161" s="2" t="s">
        <v>83</v>
      </c>
      <c r="L161" s="2" t="s">
        <v>431</v>
      </c>
      <c r="M161" s="2" t="s">
        <v>1161</v>
      </c>
      <c r="N161" s="2" t="n">
        <v>5</v>
      </c>
      <c r="O161" s="2" t="n">
        <v>0.2</v>
      </c>
      <c r="P161" s="2" t="n">
        <v>-77.78</v>
      </c>
      <c r="Q161" s="2" t="n">
        <v>34.27</v>
      </c>
      <c r="R161" s="2" t="s">
        <v>109</v>
      </c>
      <c r="S161" s="2" t="s">
        <v>60</v>
      </c>
    </row>
    <row r="162" customFormat="false" ht="15" hidden="false" customHeight="false" outlineLevel="0" collapsed="false">
      <c r="A162" s="2" t="s">
        <v>1162</v>
      </c>
      <c r="B162" s="2" t="s">
        <v>1163</v>
      </c>
      <c r="C162" s="2" t="s">
        <v>1164</v>
      </c>
      <c r="D162" s="2" t="s">
        <v>1165</v>
      </c>
      <c r="E162" s="2" t="s">
        <v>1166</v>
      </c>
      <c r="F162" s="2" t="s">
        <v>66</v>
      </c>
      <c r="G162" s="2" t="s">
        <v>702</v>
      </c>
      <c r="H162" s="2" t="s">
        <v>105</v>
      </c>
      <c r="I162" s="2" t="s">
        <v>106</v>
      </c>
      <c r="J162" s="2" t="s">
        <v>244</v>
      </c>
      <c r="K162" s="2" t="s">
        <v>44</v>
      </c>
      <c r="L162" s="2" t="s">
        <v>45</v>
      </c>
      <c r="M162" s="2" t="s">
        <v>1167</v>
      </c>
      <c r="N162" s="2" t="n">
        <v>9</v>
      </c>
      <c r="O162" s="2" t="n">
        <v>0.3</v>
      </c>
      <c r="P162" s="2" t="n">
        <v>45.44</v>
      </c>
      <c r="Q162" s="2" t="n">
        <v>19.42</v>
      </c>
      <c r="R162" s="2" t="s">
        <v>133</v>
      </c>
      <c r="S162" s="2"/>
    </row>
    <row r="163" customFormat="false" ht="15" hidden="false" customHeight="false" outlineLevel="0" collapsed="false">
      <c r="A163" s="2" t="s">
        <v>1168</v>
      </c>
      <c r="B163" s="2" t="s">
        <v>1169</v>
      </c>
      <c r="C163" s="2" t="s">
        <v>1170</v>
      </c>
      <c r="D163" s="2" t="s">
        <v>1171</v>
      </c>
      <c r="E163" s="2" t="s">
        <v>1172</v>
      </c>
      <c r="F163" s="2" t="s">
        <v>24</v>
      </c>
      <c r="G163" s="2" t="s">
        <v>1173</v>
      </c>
      <c r="H163" s="2" t="s">
        <v>169</v>
      </c>
      <c r="I163" s="2" t="s">
        <v>106</v>
      </c>
      <c r="J163" s="2" t="s">
        <v>129</v>
      </c>
      <c r="K163" s="2" t="s">
        <v>388</v>
      </c>
      <c r="L163" s="2" t="s">
        <v>389</v>
      </c>
      <c r="M163" s="2" t="s">
        <v>1174</v>
      </c>
      <c r="N163" s="2" t="n">
        <v>10</v>
      </c>
      <c r="O163" s="2" t="n">
        <v>0.5</v>
      </c>
      <c r="P163" s="2" t="n">
        <v>-25.72</v>
      </c>
      <c r="Q163" s="2" t="n">
        <v>4.77</v>
      </c>
      <c r="R163" s="2" t="s">
        <v>440</v>
      </c>
      <c r="S163" s="2" t="s">
        <v>73</v>
      </c>
    </row>
    <row r="164" customFormat="false" ht="15" hidden="false" customHeight="false" outlineLevel="0" collapsed="false">
      <c r="A164" s="2" t="s">
        <v>1175</v>
      </c>
      <c r="B164" s="2" t="s">
        <v>1176</v>
      </c>
      <c r="C164" s="2" t="s">
        <v>1177</v>
      </c>
      <c r="D164" s="2" t="s">
        <v>1178</v>
      </c>
      <c r="E164" s="2" t="s">
        <v>1179</v>
      </c>
      <c r="F164" s="2" t="s">
        <v>103</v>
      </c>
      <c r="G164" s="2" t="s">
        <v>1180</v>
      </c>
      <c r="H164" s="2" t="s">
        <v>480</v>
      </c>
      <c r="I164" s="2" t="s">
        <v>54</v>
      </c>
      <c r="J164" s="2" t="s">
        <v>93</v>
      </c>
      <c r="K164" s="2" t="s">
        <v>199</v>
      </c>
      <c r="L164" s="2" t="s">
        <v>789</v>
      </c>
      <c r="M164" s="2" t="s">
        <v>1181</v>
      </c>
      <c r="N164" s="2" t="n">
        <v>3</v>
      </c>
      <c r="O164" s="2" t="n">
        <v>0.1</v>
      </c>
      <c r="P164" s="2" t="n">
        <v>1.2</v>
      </c>
      <c r="Q164" s="2" t="n">
        <v>22.08</v>
      </c>
      <c r="R164" s="2" t="s">
        <v>72</v>
      </c>
      <c r="S164" s="2" t="s">
        <v>73</v>
      </c>
    </row>
    <row r="165" customFormat="false" ht="15" hidden="false" customHeight="false" outlineLevel="0" collapsed="false">
      <c r="A165" s="2" t="s">
        <v>1182</v>
      </c>
      <c r="B165" s="2" t="s">
        <v>294</v>
      </c>
      <c r="C165" s="2" t="s">
        <v>1183</v>
      </c>
      <c r="D165" s="2" t="s">
        <v>1184</v>
      </c>
      <c r="E165" s="2" t="s">
        <v>1185</v>
      </c>
      <c r="F165" s="2" t="s">
        <v>149</v>
      </c>
      <c r="G165" s="2" t="s">
        <v>438</v>
      </c>
      <c r="H165" s="2" t="s">
        <v>286</v>
      </c>
      <c r="I165" s="2" t="s">
        <v>54</v>
      </c>
      <c r="J165" s="2" t="s">
        <v>93</v>
      </c>
      <c r="K165" s="2" t="s">
        <v>388</v>
      </c>
      <c r="L165" s="2" t="s">
        <v>1186</v>
      </c>
      <c r="M165" s="2" t="s">
        <v>1187</v>
      </c>
      <c r="N165" s="2" t="n">
        <v>2</v>
      </c>
      <c r="O165" s="2" t="n">
        <v>0</v>
      </c>
      <c r="P165" s="2" t="n">
        <v>22.22</v>
      </c>
      <c r="Q165" s="2" t="n">
        <v>53.41</v>
      </c>
      <c r="R165" s="2" t="s">
        <v>162</v>
      </c>
      <c r="S165" s="2" t="s">
        <v>73</v>
      </c>
    </row>
    <row r="166" customFormat="false" ht="15" hidden="false" customHeight="false" outlineLevel="0" collapsed="false">
      <c r="A166" s="2" t="s">
        <v>1188</v>
      </c>
      <c r="B166" s="2" t="s">
        <v>1189</v>
      </c>
      <c r="C166" s="2" t="s">
        <v>304</v>
      </c>
      <c r="D166" s="2" t="s">
        <v>125</v>
      </c>
      <c r="E166" s="2" t="s">
        <v>126</v>
      </c>
      <c r="F166" s="2" t="s">
        <v>66</v>
      </c>
      <c r="G166" s="2" t="s">
        <v>1190</v>
      </c>
      <c r="H166" s="2" t="s">
        <v>41</v>
      </c>
      <c r="I166" s="2" t="s">
        <v>42</v>
      </c>
      <c r="J166" s="2" t="s">
        <v>55</v>
      </c>
      <c r="K166" s="2" t="s">
        <v>277</v>
      </c>
      <c r="L166" s="2" t="s">
        <v>397</v>
      </c>
      <c r="M166" s="2" t="s">
        <v>1191</v>
      </c>
      <c r="N166" s="2" t="n">
        <v>12</v>
      </c>
      <c r="O166" s="2" t="n">
        <v>0</v>
      </c>
      <c r="P166" s="2" t="n">
        <v>75.79</v>
      </c>
      <c r="Q166" s="2"/>
      <c r="R166" s="2" t="s">
        <v>86</v>
      </c>
      <c r="S166" s="2" t="s">
        <v>33</v>
      </c>
    </row>
    <row r="167" customFormat="false" ht="15" hidden="false" customHeight="false" outlineLevel="0" collapsed="false">
      <c r="A167" s="2" t="s">
        <v>1192</v>
      </c>
      <c r="B167" s="2" t="s">
        <v>1193</v>
      </c>
      <c r="C167" s="2" t="s">
        <v>1194</v>
      </c>
      <c r="D167" s="2" t="s">
        <v>1195</v>
      </c>
      <c r="E167" s="2" t="s">
        <v>1196</v>
      </c>
      <c r="F167" s="2" t="s">
        <v>196</v>
      </c>
      <c r="G167" s="2" t="s">
        <v>595</v>
      </c>
      <c r="H167" s="2" t="s">
        <v>140</v>
      </c>
      <c r="I167" s="2" t="s">
        <v>54</v>
      </c>
      <c r="J167" s="2" t="s">
        <v>244</v>
      </c>
      <c r="K167" s="2" t="s">
        <v>69</v>
      </c>
      <c r="L167" s="2" t="s">
        <v>417</v>
      </c>
      <c r="M167" s="2" t="s">
        <v>1197</v>
      </c>
      <c r="N167" s="2" t="n">
        <v>12</v>
      </c>
      <c r="O167" s="2" t="n">
        <v>0.3</v>
      </c>
      <c r="P167" s="2" t="n">
        <v>-308.41</v>
      </c>
      <c r="Q167" s="2" t="n">
        <v>28.55</v>
      </c>
      <c r="R167" s="2" t="s">
        <v>72</v>
      </c>
      <c r="S167" s="2" t="s">
        <v>60</v>
      </c>
    </row>
    <row r="168" customFormat="false" ht="15" hidden="false" customHeight="false" outlineLevel="0" collapsed="false">
      <c r="A168" s="2" t="s">
        <v>1198</v>
      </c>
      <c r="B168" s="2" t="s">
        <v>1199</v>
      </c>
      <c r="C168" s="2" t="s">
        <v>1200</v>
      </c>
      <c r="D168" s="2" t="s">
        <v>1201</v>
      </c>
      <c r="E168" s="2" t="s">
        <v>1202</v>
      </c>
      <c r="F168" s="2" t="s">
        <v>39</v>
      </c>
      <c r="G168" s="2" t="s">
        <v>159</v>
      </c>
      <c r="H168" s="2" t="s">
        <v>160</v>
      </c>
      <c r="I168" s="2" t="s">
        <v>27</v>
      </c>
      <c r="J168" s="2" t="s">
        <v>43</v>
      </c>
      <c r="K168" s="2" t="s">
        <v>56</v>
      </c>
      <c r="L168" s="2" t="s">
        <v>536</v>
      </c>
      <c r="M168" s="2" t="s">
        <v>1203</v>
      </c>
      <c r="N168" s="2" t="n">
        <v>10</v>
      </c>
      <c r="O168" s="2" t="n">
        <v>0.1</v>
      </c>
      <c r="P168" s="2" t="n">
        <v>489.07</v>
      </c>
      <c r="Q168" s="2" t="n">
        <v>17.63</v>
      </c>
      <c r="R168" s="2" t="s">
        <v>162</v>
      </c>
      <c r="S168" s="2" t="s">
        <v>60</v>
      </c>
    </row>
    <row r="169" customFormat="false" ht="15" hidden="false" customHeight="false" outlineLevel="0" collapsed="false">
      <c r="A169" s="2" t="s">
        <v>1204</v>
      </c>
      <c r="B169" s="2" t="s">
        <v>1205</v>
      </c>
      <c r="C169" s="2" t="s">
        <v>1206</v>
      </c>
      <c r="D169" s="2" t="s">
        <v>1207</v>
      </c>
      <c r="E169" s="2" t="s">
        <v>1208</v>
      </c>
      <c r="F169" s="2" t="s">
        <v>66</v>
      </c>
      <c r="G169" s="2" t="s">
        <v>1209</v>
      </c>
      <c r="H169" s="2" t="s">
        <v>286</v>
      </c>
      <c r="I169" s="2" t="s">
        <v>54</v>
      </c>
      <c r="J169" s="2" t="s">
        <v>55</v>
      </c>
      <c r="K169" s="2" t="s">
        <v>56</v>
      </c>
      <c r="L169" s="2" t="s">
        <v>57</v>
      </c>
      <c r="M169" s="2" t="s">
        <v>1210</v>
      </c>
      <c r="N169" s="2" t="n">
        <v>6</v>
      </c>
      <c r="O169" s="2" t="n">
        <v>0.3</v>
      </c>
      <c r="P169" s="2" t="n">
        <v>23.36</v>
      </c>
      <c r="Q169" s="2" t="n">
        <v>3.78</v>
      </c>
      <c r="R169" s="2" t="s">
        <v>59</v>
      </c>
      <c r="S169" s="2" t="s">
        <v>60</v>
      </c>
    </row>
    <row r="170" customFormat="false" ht="15" hidden="false" customHeight="false" outlineLevel="0" collapsed="false">
      <c r="A170" s="2" t="s">
        <v>1211</v>
      </c>
      <c r="B170" s="2" t="s">
        <v>1212</v>
      </c>
      <c r="C170" s="2" t="s">
        <v>1213</v>
      </c>
      <c r="D170" s="2" t="s">
        <v>1214</v>
      </c>
      <c r="E170" s="2" t="s">
        <v>1215</v>
      </c>
      <c r="F170" s="2" t="s">
        <v>79</v>
      </c>
      <c r="G170" s="2" t="s">
        <v>1216</v>
      </c>
      <c r="H170" s="2" t="s">
        <v>259</v>
      </c>
      <c r="I170" s="2" t="s">
        <v>106</v>
      </c>
      <c r="J170" s="2" t="s">
        <v>82</v>
      </c>
      <c r="K170" s="2" t="s">
        <v>83</v>
      </c>
      <c r="L170" s="2" t="s">
        <v>569</v>
      </c>
      <c r="M170" s="2" t="s">
        <v>1217</v>
      </c>
      <c r="N170" s="2" t="n">
        <v>1</v>
      </c>
      <c r="O170" s="2" t="n">
        <v>0.3</v>
      </c>
      <c r="P170" s="2" t="n">
        <v>-4.66</v>
      </c>
      <c r="Q170" s="2" t="n">
        <v>37.23</v>
      </c>
      <c r="R170" s="2" t="s">
        <v>121</v>
      </c>
      <c r="S170" s="2" t="s">
        <v>110</v>
      </c>
    </row>
    <row r="171" customFormat="false" ht="15" hidden="false" customHeight="false" outlineLevel="0" collapsed="false">
      <c r="A171" s="2" t="s">
        <v>1218</v>
      </c>
      <c r="B171" s="2" t="s">
        <v>1219</v>
      </c>
      <c r="C171" s="2" t="s">
        <v>1220</v>
      </c>
      <c r="D171" s="2" t="s">
        <v>1221</v>
      </c>
      <c r="E171" s="2" t="s">
        <v>1222</v>
      </c>
      <c r="F171" s="2" t="s">
        <v>24</v>
      </c>
      <c r="G171" s="2" t="s">
        <v>1082</v>
      </c>
      <c r="H171" s="2" t="s">
        <v>286</v>
      </c>
      <c r="I171" s="2" t="s">
        <v>54</v>
      </c>
      <c r="J171" s="2" t="s">
        <v>82</v>
      </c>
      <c r="K171" s="2" t="s">
        <v>83</v>
      </c>
      <c r="L171" s="2" t="s">
        <v>431</v>
      </c>
      <c r="M171" s="2" t="s">
        <v>1223</v>
      </c>
      <c r="N171" s="2" t="n">
        <v>4</v>
      </c>
      <c r="O171" s="2" t="n">
        <v>0.1</v>
      </c>
      <c r="P171" s="2" t="n">
        <v>410.34</v>
      </c>
      <c r="Q171" s="2" t="n">
        <v>24.16</v>
      </c>
      <c r="R171" s="2" t="s">
        <v>133</v>
      </c>
      <c r="S171" s="2" t="s">
        <v>110</v>
      </c>
    </row>
    <row r="172" customFormat="false" ht="15" hidden="false" customHeight="false" outlineLevel="0" collapsed="false">
      <c r="A172" s="2" t="s">
        <v>1224</v>
      </c>
      <c r="B172" s="2" t="s">
        <v>1225</v>
      </c>
      <c r="C172" s="2" t="s">
        <v>1226</v>
      </c>
      <c r="D172" s="2" t="s">
        <v>1227</v>
      </c>
      <c r="E172" s="2" t="s">
        <v>1228</v>
      </c>
      <c r="F172" s="2" t="s">
        <v>66</v>
      </c>
      <c r="G172" s="2" t="s">
        <v>104</v>
      </c>
      <c r="H172" s="2" t="s">
        <v>105</v>
      </c>
      <c r="I172" s="2" t="s">
        <v>106</v>
      </c>
      <c r="J172" s="2" t="s">
        <v>93</v>
      </c>
      <c r="K172" s="2" t="s">
        <v>388</v>
      </c>
      <c r="L172" s="2" t="s">
        <v>389</v>
      </c>
      <c r="M172" s="2" t="s">
        <v>1229</v>
      </c>
      <c r="N172" s="2" t="n">
        <v>1</v>
      </c>
      <c r="O172" s="2" t="n">
        <v>0.15</v>
      </c>
      <c r="P172" s="2" t="n">
        <v>2.96</v>
      </c>
      <c r="Q172" s="2" t="n">
        <v>54.22</v>
      </c>
      <c r="R172" s="2" t="s">
        <v>440</v>
      </c>
      <c r="S172" s="2" t="s">
        <v>60</v>
      </c>
    </row>
    <row r="173" customFormat="false" ht="15" hidden="false" customHeight="false" outlineLevel="0" collapsed="false">
      <c r="A173" s="2" t="s">
        <v>1230</v>
      </c>
      <c r="B173" s="2" t="s">
        <v>1231</v>
      </c>
      <c r="C173" s="2" t="s">
        <v>1232</v>
      </c>
      <c r="D173" s="2" t="s">
        <v>1233</v>
      </c>
      <c r="E173" s="2" t="s">
        <v>1234</v>
      </c>
      <c r="F173" s="2" t="s">
        <v>39</v>
      </c>
      <c r="G173" s="2" t="s">
        <v>1100</v>
      </c>
      <c r="H173" s="2" t="s">
        <v>41</v>
      </c>
      <c r="I173" s="2" t="s">
        <v>42</v>
      </c>
      <c r="J173" s="2" t="s">
        <v>387</v>
      </c>
      <c r="K173" s="2" t="s">
        <v>199</v>
      </c>
      <c r="L173" s="2" t="s">
        <v>851</v>
      </c>
      <c r="M173" s="2" t="s">
        <v>1235</v>
      </c>
      <c r="N173" s="2" t="n">
        <v>7</v>
      </c>
      <c r="O173" s="2" t="n">
        <v>0</v>
      </c>
      <c r="P173" s="2" t="n">
        <v>142.79</v>
      </c>
      <c r="Q173" s="2" t="n">
        <v>27.26</v>
      </c>
      <c r="R173" s="2" t="s">
        <v>72</v>
      </c>
      <c r="S173" s="2" t="s">
        <v>60</v>
      </c>
    </row>
    <row r="174" customFormat="false" ht="15" hidden="false" customHeight="false" outlineLevel="0" collapsed="false">
      <c r="A174" s="2" t="s">
        <v>1236</v>
      </c>
      <c r="B174" s="2" t="s">
        <v>1237</v>
      </c>
      <c r="C174" s="2" t="s">
        <v>1238</v>
      </c>
      <c r="D174" s="2" t="s">
        <v>1239</v>
      </c>
      <c r="E174" s="2" t="s">
        <v>1240</v>
      </c>
      <c r="F174" s="2" t="s">
        <v>66</v>
      </c>
      <c r="G174" s="2" t="s">
        <v>1241</v>
      </c>
      <c r="H174" s="2" t="s">
        <v>26</v>
      </c>
      <c r="I174" s="2" t="s">
        <v>27</v>
      </c>
      <c r="J174" s="2" t="s">
        <v>387</v>
      </c>
      <c r="K174" s="2" t="s">
        <v>170</v>
      </c>
      <c r="L174" s="2" t="s">
        <v>226</v>
      </c>
      <c r="M174" s="2" t="s">
        <v>1242</v>
      </c>
      <c r="N174" s="2" t="n">
        <v>1</v>
      </c>
      <c r="O174" s="2"/>
      <c r="P174" s="2" t="n">
        <v>0.02</v>
      </c>
      <c r="Q174" s="2" t="n">
        <v>59.15</v>
      </c>
      <c r="R174" s="2" t="s">
        <v>133</v>
      </c>
      <c r="S174" s="2" t="s">
        <v>110</v>
      </c>
    </row>
    <row r="175" customFormat="false" ht="15" hidden="false" customHeight="false" outlineLevel="0" collapsed="false">
      <c r="A175" s="2" t="s">
        <v>1243</v>
      </c>
      <c r="B175" s="2" t="s">
        <v>1244</v>
      </c>
      <c r="C175" s="2" t="s">
        <v>1245</v>
      </c>
      <c r="D175" s="2" t="s">
        <v>1246</v>
      </c>
      <c r="E175" s="2" t="s">
        <v>1247</v>
      </c>
      <c r="F175" s="2" t="s">
        <v>79</v>
      </c>
      <c r="G175" s="2" t="s">
        <v>104</v>
      </c>
      <c r="H175" s="2" t="s">
        <v>105</v>
      </c>
      <c r="I175" s="2" t="s">
        <v>106</v>
      </c>
      <c r="J175" s="2" t="s">
        <v>343</v>
      </c>
      <c r="K175" s="2" t="s">
        <v>234</v>
      </c>
      <c r="L175" s="2" t="s">
        <v>235</v>
      </c>
      <c r="M175" s="2" t="s">
        <v>1248</v>
      </c>
      <c r="N175" s="2" t="n">
        <v>9</v>
      </c>
      <c r="O175" s="2" t="n">
        <v>0.3</v>
      </c>
      <c r="P175" s="2" t="n">
        <v>337.6</v>
      </c>
      <c r="Q175" s="2" t="n">
        <v>48.21</v>
      </c>
      <c r="R175" s="2" t="s">
        <v>86</v>
      </c>
      <c r="S175" s="2" t="s">
        <v>33</v>
      </c>
    </row>
    <row r="176" customFormat="false" ht="15" hidden="false" customHeight="false" outlineLevel="0" collapsed="false">
      <c r="A176" s="2" t="s">
        <v>1249</v>
      </c>
      <c r="B176" s="2" t="s">
        <v>1250</v>
      </c>
      <c r="C176" s="2" t="s">
        <v>1251</v>
      </c>
      <c r="D176" s="2" t="s">
        <v>1252</v>
      </c>
      <c r="E176" s="2" t="s">
        <v>1253</v>
      </c>
      <c r="F176" s="2" t="s">
        <v>39</v>
      </c>
      <c r="G176" s="2" t="s">
        <v>1254</v>
      </c>
      <c r="H176" s="2" t="s">
        <v>243</v>
      </c>
      <c r="I176" s="2" t="s">
        <v>54</v>
      </c>
      <c r="J176" s="2" t="s">
        <v>55</v>
      </c>
      <c r="K176" s="2" t="s">
        <v>69</v>
      </c>
      <c r="L176" s="2" t="s">
        <v>70</v>
      </c>
      <c r="M176" s="2" t="s">
        <v>1255</v>
      </c>
      <c r="N176" s="2" t="n">
        <v>1</v>
      </c>
      <c r="O176" s="2" t="n">
        <v>0.4</v>
      </c>
      <c r="P176" s="2" t="n">
        <v>-30.58</v>
      </c>
      <c r="Q176" s="2" t="n">
        <v>15.13</v>
      </c>
      <c r="R176" s="2" t="s">
        <v>697</v>
      </c>
      <c r="S176" s="2" t="s">
        <v>110</v>
      </c>
    </row>
    <row r="177" customFormat="false" ht="15" hidden="false" customHeight="false" outlineLevel="0" collapsed="false">
      <c r="A177" s="2" t="s">
        <v>1256</v>
      </c>
      <c r="B177" s="2" t="s">
        <v>442</v>
      </c>
      <c r="C177" s="2" t="s">
        <v>1257</v>
      </c>
      <c r="D177" s="2" t="s">
        <v>1258</v>
      </c>
      <c r="E177" s="2" t="s">
        <v>1259</v>
      </c>
      <c r="F177" s="2" t="s">
        <v>66</v>
      </c>
      <c r="G177" s="2" t="s">
        <v>116</v>
      </c>
      <c r="H177" s="2" t="s">
        <v>117</v>
      </c>
      <c r="I177" s="2" t="s">
        <v>27</v>
      </c>
      <c r="J177" s="2" t="s">
        <v>129</v>
      </c>
      <c r="K177" s="2" t="s">
        <v>94</v>
      </c>
      <c r="L177" s="2" t="s">
        <v>95</v>
      </c>
      <c r="M177" s="2" t="s">
        <v>1260</v>
      </c>
      <c r="N177" s="2" t="n">
        <v>4</v>
      </c>
      <c r="O177" s="2" t="n">
        <v>0</v>
      </c>
      <c r="P177" s="2" t="n">
        <v>15.13</v>
      </c>
      <c r="Q177" s="2" t="n">
        <v>44.71</v>
      </c>
      <c r="R177" s="2" t="s">
        <v>86</v>
      </c>
      <c r="S177" s="2" t="s">
        <v>110</v>
      </c>
    </row>
    <row r="178" customFormat="false" ht="15" hidden="false" customHeight="false" outlineLevel="0" collapsed="false">
      <c r="A178" s="2" t="s">
        <v>1261</v>
      </c>
      <c r="B178" s="2" t="s">
        <v>987</v>
      </c>
      <c r="C178" s="2" t="s">
        <v>1262</v>
      </c>
      <c r="D178" s="2" t="s">
        <v>1263</v>
      </c>
      <c r="E178" s="2" t="s">
        <v>1264</v>
      </c>
      <c r="F178" s="2" t="s">
        <v>179</v>
      </c>
      <c r="G178" s="2" t="s">
        <v>1254</v>
      </c>
      <c r="H178" s="2" t="s">
        <v>243</v>
      </c>
      <c r="I178" s="2" t="s">
        <v>54</v>
      </c>
      <c r="J178" s="2" t="s">
        <v>82</v>
      </c>
      <c r="K178" s="2" t="s">
        <v>118</v>
      </c>
      <c r="L178" s="2" t="s">
        <v>260</v>
      </c>
      <c r="M178" s="2" t="s">
        <v>1265</v>
      </c>
      <c r="N178" s="2" t="n">
        <v>12</v>
      </c>
      <c r="O178" s="2" t="n">
        <v>0.4</v>
      </c>
      <c r="P178" s="2" t="n">
        <v>-158.52</v>
      </c>
      <c r="Q178" s="2" t="n">
        <v>6.61</v>
      </c>
      <c r="R178" s="2" t="s">
        <v>181</v>
      </c>
      <c r="S178" s="2" t="s">
        <v>33</v>
      </c>
    </row>
    <row r="179" customFormat="false" ht="15" hidden="false" customHeight="false" outlineLevel="0" collapsed="false">
      <c r="A179" s="2" t="s">
        <v>1266</v>
      </c>
      <c r="B179" s="2" t="s">
        <v>1267</v>
      </c>
      <c r="C179" s="2" t="s">
        <v>1268</v>
      </c>
      <c r="D179" s="2" t="s">
        <v>1269</v>
      </c>
      <c r="E179" s="2" t="s">
        <v>1270</v>
      </c>
      <c r="F179" s="2" t="s">
        <v>39</v>
      </c>
      <c r="G179" s="2" t="s">
        <v>1271</v>
      </c>
      <c r="H179" s="2" t="s">
        <v>480</v>
      </c>
      <c r="I179" s="2" t="s">
        <v>54</v>
      </c>
      <c r="J179" s="2" t="s">
        <v>82</v>
      </c>
      <c r="K179" s="2" t="s">
        <v>118</v>
      </c>
      <c r="L179" s="2" t="s">
        <v>119</v>
      </c>
      <c r="M179" s="2" t="s">
        <v>1272</v>
      </c>
      <c r="N179" s="2" t="n">
        <v>3</v>
      </c>
      <c r="O179" s="2" t="n">
        <v>0.3</v>
      </c>
      <c r="P179" s="2" t="n">
        <v>-16.74</v>
      </c>
      <c r="Q179" s="2" t="n">
        <v>31.12</v>
      </c>
      <c r="R179" s="2" t="s">
        <v>72</v>
      </c>
      <c r="S179" s="2" t="s">
        <v>33</v>
      </c>
    </row>
    <row r="180" customFormat="false" ht="15" hidden="false" customHeight="false" outlineLevel="0" collapsed="false">
      <c r="A180" s="2" t="s">
        <v>1273</v>
      </c>
      <c r="B180" s="2" t="s">
        <v>1274</v>
      </c>
      <c r="C180" s="2" t="s">
        <v>1275</v>
      </c>
      <c r="D180" s="2" t="s">
        <v>1276</v>
      </c>
      <c r="E180" s="2" t="s">
        <v>1277</v>
      </c>
      <c r="F180" s="2" t="s">
        <v>39</v>
      </c>
      <c r="G180" s="2" t="s">
        <v>298</v>
      </c>
      <c r="H180" s="2" t="s">
        <v>299</v>
      </c>
      <c r="I180" s="2" t="s">
        <v>42</v>
      </c>
      <c r="J180" s="2" t="s">
        <v>93</v>
      </c>
      <c r="K180" s="2" t="s">
        <v>130</v>
      </c>
      <c r="L180" s="2" t="s">
        <v>604</v>
      </c>
      <c r="M180" s="2" t="s">
        <v>1278</v>
      </c>
      <c r="N180" s="2" t="n">
        <v>6</v>
      </c>
      <c r="O180" s="2" t="n">
        <v>0</v>
      </c>
      <c r="P180" s="2" t="n">
        <v>49.4</v>
      </c>
      <c r="Q180" s="2" t="n">
        <v>27</v>
      </c>
      <c r="R180" s="2" t="s">
        <v>162</v>
      </c>
      <c r="S180" s="2" t="s">
        <v>33</v>
      </c>
    </row>
    <row r="181" customFormat="false" ht="15" hidden="false" customHeight="false" outlineLevel="0" collapsed="false">
      <c r="A181" s="2" t="s">
        <v>1279</v>
      </c>
      <c r="B181" s="2" t="s">
        <v>1280</v>
      </c>
      <c r="C181" s="2" t="s">
        <v>1281</v>
      </c>
      <c r="D181" s="2" t="s">
        <v>1153</v>
      </c>
      <c r="E181" s="2"/>
      <c r="F181" s="2" t="s">
        <v>179</v>
      </c>
      <c r="G181" s="2" t="s">
        <v>104</v>
      </c>
      <c r="H181" s="2" t="s">
        <v>105</v>
      </c>
      <c r="I181" s="2" t="s">
        <v>106</v>
      </c>
      <c r="J181" s="2" t="s">
        <v>55</v>
      </c>
      <c r="K181" s="2" t="s">
        <v>277</v>
      </c>
      <c r="L181" s="2" t="s">
        <v>278</v>
      </c>
      <c r="M181" s="2" t="s">
        <v>1282</v>
      </c>
      <c r="N181" s="2" t="n">
        <v>4</v>
      </c>
      <c r="O181" s="2" t="n">
        <v>0.3</v>
      </c>
      <c r="P181" s="2" t="n">
        <v>-17.25</v>
      </c>
      <c r="Q181" s="2" t="n">
        <v>58.78</v>
      </c>
      <c r="R181" s="2" t="s">
        <v>133</v>
      </c>
      <c r="S181" s="2" t="s">
        <v>33</v>
      </c>
    </row>
    <row r="182" customFormat="false" ht="15" hidden="false" customHeight="false" outlineLevel="0" collapsed="false">
      <c r="A182" s="2" t="s">
        <v>1283</v>
      </c>
      <c r="B182" s="2" t="s">
        <v>1284</v>
      </c>
      <c r="C182" s="2" t="s">
        <v>1285</v>
      </c>
      <c r="D182" s="2" t="s">
        <v>1286</v>
      </c>
      <c r="E182" s="2" t="s">
        <v>1287</v>
      </c>
      <c r="F182" s="2" t="s">
        <v>594</v>
      </c>
      <c r="G182" s="2" t="s">
        <v>508</v>
      </c>
      <c r="H182" s="2" t="s">
        <v>480</v>
      </c>
      <c r="I182" s="2" t="s">
        <v>54</v>
      </c>
      <c r="J182" s="2" t="s">
        <v>82</v>
      </c>
      <c r="K182" s="2" t="s">
        <v>29</v>
      </c>
      <c r="L182" s="2" t="s">
        <v>30</v>
      </c>
      <c r="M182" s="2" t="s">
        <v>1288</v>
      </c>
      <c r="N182" s="2" t="n">
        <v>10</v>
      </c>
      <c r="O182" s="2" t="n">
        <v>0</v>
      </c>
      <c r="P182" s="2" t="n">
        <v>1476.07</v>
      </c>
      <c r="Q182" s="2" t="n">
        <v>15.19</v>
      </c>
      <c r="R182" s="2" t="s">
        <v>109</v>
      </c>
      <c r="S182" s="2" t="s">
        <v>60</v>
      </c>
    </row>
    <row r="183" customFormat="false" ht="15" hidden="false" customHeight="false" outlineLevel="0" collapsed="false">
      <c r="A183" s="2" t="s">
        <v>1289</v>
      </c>
      <c r="B183" s="2" t="s">
        <v>967</v>
      </c>
      <c r="C183" s="2" t="s">
        <v>1290</v>
      </c>
      <c r="D183" s="2" t="s">
        <v>385</v>
      </c>
      <c r="E183" s="2" t="s">
        <v>386</v>
      </c>
      <c r="F183" s="2" t="s">
        <v>39</v>
      </c>
      <c r="G183" s="2" t="s">
        <v>197</v>
      </c>
      <c r="H183" s="2" t="s">
        <v>198</v>
      </c>
      <c r="I183" s="2" t="s">
        <v>106</v>
      </c>
      <c r="J183" s="2" t="s">
        <v>82</v>
      </c>
      <c r="K183" s="2" t="s">
        <v>29</v>
      </c>
      <c r="L183" s="2" t="s">
        <v>30</v>
      </c>
      <c r="M183" s="2" t="s">
        <v>1291</v>
      </c>
      <c r="N183" s="2" t="n">
        <v>9</v>
      </c>
      <c r="O183" s="2" t="n">
        <v>0</v>
      </c>
      <c r="P183" s="2" t="n">
        <v>1178.01</v>
      </c>
      <c r="Q183" s="2" t="n">
        <v>5.38</v>
      </c>
      <c r="R183" s="2" t="s">
        <v>32</v>
      </c>
      <c r="S183" s="2" t="s">
        <v>73</v>
      </c>
    </row>
    <row r="184" customFormat="false" ht="15" hidden="false" customHeight="false" outlineLevel="0" collapsed="false">
      <c r="A184" s="2" t="s">
        <v>1292</v>
      </c>
      <c r="B184" s="2" t="s">
        <v>1293</v>
      </c>
      <c r="C184" s="2" t="s">
        <v>1294</v>
      </c>
      <c r="D184" s="2" t="s">
        <v>1295</v>
      </c>
      <c r="E184" s="2" t="s">
        <v>1296</v>
      </c>
      <c r="F184" s="2" t="s">
        <v>149</v>
      </c>
      <c r="G184" s="2" t="s">
        <v>1297</v>
      </c>
      <c r="H184" s="2" t="s">
        <v>209</v>
      </c>
      <c r="I184" s="2" t="s">
        <v>27</v>
      </c>
      <c r="J184" s="2" t="s">
        <v>43</v>
      </c>
      <c r="K184" s="2" t="s">
        <v>69</v>
      </c>
      <c r="L184" s="2" t="s">
        <v>107</v>
      </c>
      <c r="M184" s="2" t="s">
        <v>1298</v>
      </c>
      <c r="N184" s="2" t="n">
        <v>3</v>
      </c>
      <c r="O184" s="2" t="n">
        <v>0.5</v>
      </c>
      <c r="P184" s="2" t="n">
        <v>-6.73</v>
      </c>
      <c r="Q184" s="2" t="n">
        <v>24.28</v>
      </c>
      <c r="R184" s="2" t="s">
        <v>162</v>
      </c>
      <c r="S184" s="2" t="s">
        <v>33</v>
      </c>
    </row>
    <row r="185" customFormat="false" ht="15" hidden="false" customHeight="false" outlineLevel="0" collapsed="false">
      <c r="A185" s="2" t="s">
        <v>1299</v>
      </c>
      <c r="B185" s="2" t="s">
        <v>1300</v>
      </c>
      <c r="C185" s="2" t="s">
        <v>1301</v>
      </c>
      <c r="D185" s="2" t="s">
        <v>1302</v>
      </c>
      <c r="E185" s="2" t="s">
        <v>1303</v>
      </c>
      <c r="F185" s="2" t="s">
        <v>24</v>
      </c>
      <c r="G185" s="2" t="s">
        <v>639</v>
      </c>
      <c r="H185" s="2" t="s">
        <v>365</v>
      </c>
      <c r="I185" s="2" t="s">
        <v>106</v>
      </c>
      <c r="J185" s="2" t="s">
        <v>82</v>
      </c>
      <c r="K185" s="2" t="s">
        <v>29</v>
      </c>
      <c r="L185" s="2" t="s">
        <v>30</v>
      </c>
      <c r="M185" s="2" t="s">
        <v>1304</v>
      </c>
      <c r="N185" s="2" t="n">
        <v>1</v>
      </c>
      <c r="O185" s="2" t="n">
        <v>0</v>
      </c>
      <c r="P185" s="2" t="n">
        <v>273.23</v>
      </c>
      <c r="Q185" s="2" t="n">
        <v>34.42</v>
      </c>
      <c r="R185" s="2" t="s">
        <v>86</v>
      </c>
      <c r="S185" s="2" t="s">
        <v>33</v>
      </c>
    </row>
    <row r="186" customFormat="false" ht="15" hidden="false" customHeight="false" outlineLevel="0" collapsed="false">
      <c r="A186" s="2" t="s">
        <v>1305</v>
      </c>
      <c r="B186" s="2" t="s">
        <v>1306</v>
      </c>
      <c r="C186" s="2" t="s">
        <v>1307</v>
      </c>
      <c r="D186" s="2" t="s">
        <v>1308</v>
      </c>
      <c r="E186" s="2" t="s">
        <v>1309</v>
      </c>
      <c r="F186" s="2" t="s">
        <v>39</v>
      </c>
      <c r="G186" s="2" t="s">
        <v>276</v>
      </c>
      <c r="H186" s="2" t="s">
        <v>26</v>
      </c>
      <c r="I186" s="2" t="s">
        <v>27</v>
      </c>
      <c r="J186" s="2" t="s">
        <v>343</v>
      </c>
      <c r="K186" s="2" t="s">
        <v>29</v>
      </c>
      <c r="L186" s="2" t="s">
        <v>374</v>
      </c>
      <c r="M186" s="2" t="s">
        <v>1310</v>
      </c>
      <c r="N186" s="2" t="n">
        <v>3</v>
      </c>
      <c r="O186" s="2" t="n">
        <v>0.2</v>
      </c>
      <c r="P186" s="2" t="n">
        <v>-28.95</v>
      </c>
      <c r="Q186" s="2" t="n">
        <v>26.41</v>
      </c>
      <c r="R186" s="2" t="s">
        <v>86</v>
      </c>
      <c r="S186" s="2" t="s">
        <v>73</v>
      </c>
    </row>
    <row r="187" customFormat="false" ht="15" hidden="false" customHeight="false" outlineLevel="0" collapsed="false">
      <c r="A187" s="2" t="s">
        <v>1311</v>
      </c>
      <c r="B187" s="2" t="s">
        <v>1312</v>
      </c>
      <c r="C187" s="2" t="s">
        <v>1313</v>
      </c>
      <c r="D187" s="2" t="s">
        <v>1314</v>
      </c>
      <c r="E187" s="2" t="s">
        <v>1315</v>
      </c>
      <c r="F187" s="2" t="s">
        <v>179</v>
      </c>
      <c r="G187" s="2" t="s">
        <v>127</v>
      </c>
      <c r="H187" s="2" t="s">
        <v>128</v>
      </c>
      <c r="I187" s="2" t="s">
        <v>42</v>
      </c>
      <c r="J187" s="2" t="s">
        <v>82</v>
      </c>
      <c r="K187" s="2" t="s">
        <v>234</v>
      </c>
      <c r="L187" s="2" t="s">
        <v>344</v>
      </c>
      <c r="M187" s="2" t="s">
        <v>1316</v>
      </c>
      <c r="N187" s="2" t="n">
        <v>6</v>
      </c>
      <c r="O187" s="2" t="n">
        <v>0</v>
      </c>
      <c r="P187" s="2" t="n">
        <v>1332.12</v>
      </c>
      <c r="Q187" s="2" t="n">
        <v>51.2</v>
      </c>
      <c r="R187" s="2" t="s">
        <v>121</v>
      </c>
      <c r="S187" s="2" t="s">
        <v>73</v>
      </c>
    </row>
    <row r="188" customFormat="false" ht="15" hidden="false" customHeight="false" outlineLevel="0" collapsed="false">
      <c r="A188" s="2" t="s">
        <v>1317</v>
      </c>
      <c r="B188" s="2" t="s">
        <v>1318</v>
      </c>
      <c r="C188" s="2" t="s">
        <v>1319</v>
      </c>
      <c r="D188" s="2" t="s">
        <v>1320</v>
      </c>
      <c r="E188" s="2" t="s">
        <v>1321</v>
      </c>
      <c r="F188" s="2" t="s">
        <v>66</v>
      </c>
      <c r="G188" s="2" t="s">
        <v>92</v>
      </c>
      <c r="H188" s="2" t="s">
        <v>81</v>
      </c>
      <c r="I188" s="2" t="s">
        <v>42</v>
      </c>
      <c r="J188" s="2" t="s">
        <v>93</v>
      </c>
      <c r="K188" s="2" t="s">
        <v>170</v>
      </c>
      <c r="L188" s="2" t="s">
        <v>171</v>
      </c>
      <c r="M188" s="2" t="s">
        <v>1322</v>
      </c>
      <c r="N188" s="2" t="n">
        <v>10</v>
      </c>
      <c r="O188" s="2" t="n">
        <v>0.1</v>
      </c>
      <c r="P188" s="2" t="n">
        <v>80.62</v>
      </c>
      <c r="Q188" s="2" t="n">
        <v>47.03</v>
      </c>
      <c r="R188" s="2" t="s">
        <v>72</v>
      </c>
      <c r="S188" s="2" t="s">
        <v>110</v>
      </c>
    </row>
    <row r="189" customFormat="false" ht="15" hidden="false" customHeight="false" outlineLevel="0" collapsed="false">
      <c r="A189" s="2" t="s">
        <v>1323</v>
      </c>
      <c r="B189" s="2" t="s">
        <v>1324</v>
      </c>
      <c r="C189" s="2" t="s">
        <v>1325</v>
      </c>
      <c r="D189" s="2" t="s">
        <v>1326</v>
      </c>
      <c r="E189" s="2" t="s">
        <v>1327</v>
      </c>
      <c r="F189" s="2" t="s">
        <v>24</v>
      </c>
      <c r="G189" s="2" t="s">
        <v>40</v>
      </c>
      <c r="H189" s="2" t="s">
        <v>41</v>
      </c>
      <c r="I189" s="2" t="s">
        <v>42</v>
      </c>
      <c r="J189" s="2" t="s">
        <v>93</v>
      </c>
      <c r="K189" s="2" t="s">
        <v>199</v>
      </c>
      <c r="L189" s="2" t="s">
        <v>200</v>
      </c>
      <c r="M189" s="2" t="s">
        <v>1328</v>
      </c>
      <c r="N189" s="2" t="n">
        <v>5</v>
      </c>
      <c r="O189" s="2" t="n">
        <v>0.15</v>
      </c>
      <c r="P189" s="2" t="n">
        <v>25</v>
      </c>
      <c r="Q189" s="2" t="n">
        <v>25.95</v>
      </c>
      <c r="R189" s="2" t="s">
        <v>440</v>
      </c>
      <c r="S189" s="2" t="s">
        <v>73</v>
      </c>
    </row>
    <row r="190" customFormat="false" ht="15" hidden="false" customHeight="false" outlineLevel="0" collapsed="false">
      <c r="A190" s="2" t="s">
        <v>1329</v>
      </c>
      <c r="B190" s="2" t="s">
        <v>1330</v>
      </c>
      <c r="C190" s="2" t="s">
        <v>1331</v>
      </c>
      <c r="D190" s="2" t="s">
        <v>1332</v>
      </c>
      <c r="E190" s="2" t="s">
        <v>1333</v>
      </c>
      <c r="F190" s="2" t="s">
        <v>39</v>
      </c>
      <c r="G190" s="2" t="s">
        <v>1180</v>
      </c>
      <c r="H190" s="2" t="s">
        <v>480</v>
      </c>
      <c r="I190" s="2" t="s">
        <v>54</v>
      </c>
      <c r="J190" s="2" t="s">
        <v>244</v>
      </c>
      <c r="K190" s="2" t="s">
        <v>277</v>
      </c>
      <c r="L190" s="2" t="s">
        <v>278</v>
      </c>
      <c r="M190" s="2" t="s">
        <v>1334</v>
      </c>
      <c r="N190" s="2" t="n">
        <v>9</v>
      </c>
      <c r="O190" s="2" t="n">
        <v>0.3</v>
      </c>
      <c r="P190" s="2" t="n">
        <v>186.66</v>
      </c>
      <c r="Q190" s="2" t="n">
        <v>46.98</v>
      </c>
      <c r="R190" s="2" t="s">
        <v>32</v>
      </c>
      <c r="S190" s="2" t="s">
        <v>33</v>
      </c>
    </row>
    <row r="191" customFormat="false" ht="15" hidden="false" customHeight="false" outlineLevel="0" collapsed="false">
      <c r="A191" s="2" t="s">
        <v>1335</v>
      </c>
      <c r="B191" s="2" t="s">
        <v>1336</v>
      </c>
      <c r="C191" s="2" t="s">
        <v>1337</v>
      </c>
      <c r="D191" s="2" t="s">
        <v>1338</v>
      </c>
      <c r="E191" s="2" t="s">
        <v>1339</v>
      </c>
      <c r="F191" s="2" t="s">
        <v>594</v>
      </c>
      <c r="G191" s="2" t="s">
        <v>450</v>
      </c>
      <c r="H191" s="2" t="s">
        <v>259</v>
      </c>
      <c r="I191" s="2" t="s">
        <v>106</v>
      </c>
      <c r="J191" s="2" t="s">
        <v>562</v>
      </c>
      <c r="K191" s="2" t="s">
        <v>234</v>
      </c>
      <c r="L191" s="2" t="s">
        <v>235</v>
      </c>
      <c r="M191" s="2" t="s">
        <v>1340</v>
      </c>
      <c r="N191" s="2" t="n">
        <v>9</v>
      </c>
      <c r="O191" s="2" t="n">
        <v>0.2</v>
      </c>
      <c r="P191" s="2" t="n">
        <v>127.68</v>
      </c>
      <c r="Q191" s="2" t="n">
        <v>9.28</v>
      </c>
      <c r="R191" s="2" t="s">
        <v>324</v>
      </c>
      <c r="S191" s="2" t="s">
        <v>60</v>
      </c>
    </row>
    <row r="192" customFormat="false" ht="15" hidden="false" customHeight="false" outlineLevel="0" collapsed="false">
      <c r="A192" s="2" t="s">
        <v>1341</v>
      </c>
      <c r="B192" s="2" t="s">
        <v>1342</v>
      </c>
      <c r="C192" s="2" t="s">
        <v>1343</v>
      </c>
      <c r="D192" s="2" t="s">
        <v>1344</v>
      </c>
      <c r="E192" s="2" t="s">
        <v>1345</v>
      </c>
      <c r="F192" s="2" t="s">
        <v>196</v>
      </c>
      <c r="G192" s="2" t="s">
        <v>1124</v>
      </c>
      <c r="H192" s="2" t="s">
        <v>68</v>
      </c>
      <c r="I192" s="2" t="s">
        <v>42</v>
      </c>
      <c r="J192" s="2" t="s">
        <v>244</v>
      </c>
      <c r="K192" s="2" t="s">
        <v>44</v>
      </c>
      <c r="L192" s="2" t="s">
        <v>300</v>
      </c>
      <c r="M192" s="2" t="s">
        <v>1346</v>
      </c>
      <c r="N192" s="2" t="n">
        <v>7</v>
      </c>
      <c r="O192" s="2" t="n">
        <v>0.15</v>
      </c>
      <c r="P192" s="2" t="n">
        <v>198.91</v>
      </c>
      <c r="Q192" s="2" t="n">
        <v>44.95</v>
      </c>
      <c r="R192" s="2" t="s">
        <v>133</v>
      </c>
      <c r="S192" s="2" t="s">
        <v>73</v>
      </c>
    </row>
    <row r="193" customFormat="false" ht="15" hidden="false" customHeight="false" outlineLevel="0" collapsed="false">
      <c r="A193" s="2" t="s">
        <v>1347</v>
      </c>
      <c r="B193" s="2" t="s">
        <v>1348</v>
      </c>
      <c r="C193" s="2" t="s">
        <v>1349</v>
      </c>
      <c r="D193" s="2" t="s">
        <v>1350</v>
      </c>
      <c r="E193" s="2" t="s">
        <v>1351</v>
      </c>
      <c r="F193" s="2" t="s">
        <v>24</v>
      </c>
      <c r="G193" s="2" t="s">
        <v>1352</v>
      </c>
      <c r="H193" s="2" t="s">
        <v>198</v>
      </c>
      <c r="I193" s="2" t="s">
        <v>106</v>
      </c>
      <c r="J193" s="2" t="s">
        <v>387</v>
      </c>
      <c r="K193" s="2" t="s">
        <v>130</v>
      </c>
      <c r="L193" s="2" t="s">
        <v>522</v>
      </c>
      <c r="M193" s="2" t="s">
        <v>1353</v>
      </c>
      <c r="N193" s="2" t="n">
        <v>12</v>
      </c>
      <c r="O193" s="2" t="n">
        <v>0.2</v>
      </c>
      <c r="P193" s="2" t="n">
        <v>13.42</v>
      </c>
      <c r="Q193" s="2" t="n">
        <v>9.77</v>
      </c>
      <c r="R193" s="2" t="s">
        <v>109</v>
      </c>
      <c r="S193" s="2" t="s">
        <v>60</v>
      </c>
    </row>
    <row r="194" customFormat="false" ht="15" hidden="false" customHeight="false" outlineLevel="0" collapsed="false">
      <c r="A194" s="2" t="s">
        <v>1354</v>
      </c>
      <c r="B194" s="2" t="s">
        <v>1355</v>
      </c>
      <c r="C194" s="2" t="s">
        <v>1356</v>
      </c>
      <c r="D194" s="2" t="s">
        <v>1357</v>
      </c>
      <c r="E194" s="2" t="s">
        <v>1358</v>
      </c>
      <c r="F194" s="2" t="s">
        <v>149</v>
      </c>
      <c r="G194" s="2" t="s">
        <v>1359</v>
      </c>
      <c r="H194" s="2" t="s">
        <v>209</v>
      </c>
      <c r="I194" s="2" t="s">
        <v>27</v>
      </c>
      <c r="J194" s="2" t="s">
        <v>82</v>
      </c>
      <c r="K194" s="2" t="s">
        <v>29</v>
      </c>
      <c r="L194" s="2" t="s">
        <v>30</v>
      </c>
      <c r="M194" s="2" t="s">
        <v>1360</v>
      </c>
      <c r="N194" s="2" t="n">
        <v>3</v>
      </c>
      <c r="O194" s="2" t="n">
        <v>0.1</v>
      </c>
      <c r="P194" s="2" t="n">
        <v>57.99</v>
      </c>
      <c r="Q194" s="2" t="n">
        <v>44.83</v>
      </c>
      <c r="R194" s="2" t="s">
        <v>32</v>
      </c>
      <c r="S194" s="2" t="s">
        <v>60</v>
      </c>
    </row>
    <row r="195" customFormat="false" ht="15" hidden="false" customHeight="false" outlineLevel="0" collapsed="false">
      <c r="A195" s="2" t="s">
        <v>1361</v>
      </c>
      <c r="B195" s="2" t="s">
        <v>1362</v>
      </c>
      <c r="C195" s="2" t="s">
        <v>1363</v>
      </c>
      <c r="D195" s="2" t="s">
        <v>177</v>
      </c>
      <c r="E195" s="2" t="s">
        <v>178</v>
      </c>
      <c r="F195" s="2" t="s">
        <v>39</v>
      </c>
      <c r="G195" s="2" t="s">
        <v>1364</v>
      </c>
      <c r="H195" s="2" t="s">
        <v>128</v>
      </c>
      <c r="I195" s="2" t="s">
        <v>42</v>
      </c>
      <c r="J195" s="2" t="s">
        <v>387</v>
      </c>
      <c r="K195" s="2" t="s">
        <v>170</v>
      </c>
      <c r="L195" s="2" t="s">
        <v>226</v>
      </c>
      <c r="M195" s="2" t="s">
        <v>1365</v>
      </c>
      <c r="N195" s="2" t="n">
        <v>3</v>
      </c>
      <c r="O195" s="2" t="n">
        <v>0</v>
      </c>
      <c r="P195" s="2" t="n">
        <v>23.2</v>
      </c>
      <c r="Q195" s="2" t="n">
        <v>2.73</v>
      </c>
      <c r="R195" s="2" t="s">
        <v>109</v>
      </c>
      <c r="S195" s="2" t="s">
        <v>110</v>
      </c>
    </row>
    <row r="196" customFormat="false" ht="15" hidden="false" customHeight="false" outlineLevel="0" collapsed="false">
      <c r="A196" s="2" t="s">
        <v>1366</v>
      </c>
      <c r="B196" s="2" t="s">
        <v>1367</v>
      </c>
      <c r="C196" s="2" t="s">
        <v>1368</v>
      </c>
      <c r="D196" s="2" t="s">
        <v>1369</v>
      </c>
      <c r="E196" s="2"/>
      <c r="F196" s="2" t="s">
        <v>24</v>
      </c>
      <c r="G196" s="2" t="s">
        <v>92</v>
      </c>
      <c r="H196" s="2" t="s">
        <v>81</v>
      </c>
      <c r="I196" s="2" t="s">
        <v>42</v>
      </c>
      <c r="J196" s="2" t="s">
        <v>82</v>
      </c>
      <c r="K196" s="2" t="s">
        <v>29</v>
      </c>
      <c r="L196" s="2" t="s">
        <v>30</v>
      </c>
      <c r="M196" s="2" t="s">
        <v>1370</v>
      </c>
      <c r="N196" s="2" t="n">
        <v>11</v>
      </c>
      <c r="O196" s="2" t="n">
        <v>0.5</v>
      </c>
      <c r="P196" s="2" t="n">
        <v>-289.92</v>
      </c>
      <c r="Q196" s="2" t="n">
        <v>2.12</v>
      </c>
      <c r="R196" s="2" t="s">
        <v>109</v>
      </c>
      <c r="S196" s="2" t="s">
        <v>110</v>
      </c>
    </row>
    <row r="197" customFormat="false" ht="15" hidden="false" customHeight="false" outlineLevel="0" collapsed="false">
      <c r="A197" s="2" t="s">
        <v>1371</v>
      </c>
      <c r="B197" s="2" t="s">
        <v>1372</v>
      </c>
      <c r="C197" s="2" t="s">
        <v>183</v>
      </c>
      <c r="D197" s="2" t="s">
        <v>1373</v>
      </c>
      <c r="E197" s="2" t="s">
        <v>1374</v>
      </c>
      <c r="F197" s="2" t="s">
        <v>39</v>
      </c>
      <c r="G197" s="2" t="s">
        <v>639</v>
      </c>
      <c r="H197" s="2" t="s">
        <v>365</v>
      </c>
      <c r="I197" s="2" t="s">
        <v>106</v>
      </c>
      <c r="J197" s="2" t="s">
        <v>82</v>
      </c>
      <c r="K197" s="2" t="s">
        <v>118</v>
      </c>
      <c r="L197" s="2" t="s">
        <v>251</v>
      </c>
      <c r="M197" s="2" t="s">
        <v>1375</v>
      </c>
      <c r="N197" s="2" t="n">
        <v>7</v>
      </c>
      <c r="O197" s="2"/>
      <c r="P197" s="2" t="n">
        <v>1058.09</v>
      </c>
      <c r="Q197" s="2" t="n">
        <v>13.48</v>
      </c>
      <c r="R197" s="2" t="s">
        <v>121</v>
      </c>
      <c r="S197" s="2" t="s">
        <v>33</v>
      </c>
    </row>
    <row r="198" customFormat="false" ht="15" hidden="false" customHeight="false" outlineLevel="0" collapsed="false">
      <c r="A198" s="2" t="s">
        <v>1376</v>
      </c>
      <c r="B198" s="2" t="s">
        <v>1377</v>
      </c>
      <c r="C198" s="2" t="s">
        <v>1378</v>
      </c>
      <c r="D198" s="2" t="s">
        <v>1379</v>
      </c>
      <c r="E198" s="2" t="s">
        <v>1380</v>
      </c>
      <c r="F198" s="2" t="s">
        <v>196</v>
      </c>
      <c r="G198" s="2" t="s">
        <v>1381</v>
      </c>
      <c r="H198" s="2" t="s">
        <v>128</v>
      </c>
      <c r="I198" s="2" t="s">
        <v>42</v>
      </c>
      <c r="J198" s="2" t="s">
        <v>55</v>
      </c>
      <c r="K198" s="2" t="s">
        <v>44</v>
      </c>
      <c r="L198" s="2" t="s">
        <v>596</v>
      </c>
      <c r="M198" s="2" t="s">
        <v>1382</v>
      </c>
      <c r="N198" s="2" t="n">
        <v>11</v>
      </c>
      <c r="O198" s="2" t="n">
        <v>0.3</v>
      </c>
      <c r="P198" s="2" t="n">
        <v>-431.26</v>
      </c>
      <c r="Q198" s="2" t="n">
        <v>54.08</v>
      </c>
      <c r="R198" s="2" t="s">
        <v>59</v>
      </c>
      <c r="S198" s="2" t="s">
        <v>73</v>
      </c>
    </row>
    <row r="199" customFormat="false" ht="15" hidden="false" customHeight="false" outlineLevel="0" collapsed="false">
      <c r="A199" s="2" t="s">
        <v>1383</v>
      </c>
      <c r="B199" s="2" t="s">
        <v>1384</v>
      </c>
      <c r="C199" s="2" t="s">
        <v>1385</v>
      </c>
      <c r="D199" s="2" t="s">
        <v>1386</v>
      </c>
      <c r="E199" s="2" t="s">
        <v>1387</v>
      </c>
      <c r="F199" s="2" t="s">
        <v>66</v>
      </c>
      <c r="G199" s="2" t="s">
        <v>1173</v>
      </c>
      <c r="H199" s="2" t="s">
        <v>169</v>
      </c>
      <c r="I199" s="2" t="s">
        <v>106</v>
      </c>
      <c r="J199" s="2" t="s">
        <v>82</v>
      </c>
      <c r="K199" s="2" t="s">
        <v>118</v>
      </c>
      <c r="L199" s="2" t="s">
        <v>251</v>
      </c>
      <c r="M199" s="2" t="s">
        <v>1388</v>
      </c>
      <c r="N199" s="2" t="n">
        <v>8</v>
      </c>
      <c r="O199" s="2" t="n">
        <v>0.15</v>
      </c>
      <c r="P199" s="2" t="n">
        <v>2180.07</v>
      </c>
      <c r="Q199" s="2" t="n">
        <v>21.32</v>
      </c>
      <c r="R199" s="2" t="s">
        <v>86</v>
      </c>
      <c r="S199" s="2" t="s">
        <v>60</v>
      </c>
    </row>
    <row r="200" customFormat="false" ht="15" hidden="false" customHeight="false" outlineLevel="0" collapsed="false">
      <c r="A200" s="2" t="s">
        <v>1389</v>
      </c>
      <c r="B200" s="2" t="s">
        <v>1390</v>
      </c>
      <c r="C200" s="2" t="s">
        <v>1391</v>
      </c>
      <c r="D200" s="2" t="s">
        <v>1392</v>
      </c>
      <c r="E200" s="2" t="s">
        <v>1393</v>
      </c>
      <c r="F200" s="2" t="s">
        <v>594</v>
      </c>
      <c r="G200" s="2" t="s">
        <v>314</v>
      </c>
      <c r="H200" s="2" t="s">
        <v>315</v>
      </c>
      <c r="I200" s="2" t="s">
        <v>54</v>
      </c>
      <c r="J200" s="2" t="s">
        <v>82</v>
      </c>
      <c r="K200" s="2" t="s">
        <v>83</v>
      </c>
      <c r="L200" s="2" t="s">
        <v>431</v>
      </c>
      <c r="M200" s="2" t="s">
        <v>1394</v>
      </c>
      <c r="N200" s="2" t="n">
        <v>1</v>
      </c>
      <c r="O200" s="2" t="n">
        <v>0</v>
      </c>
      <c r="P200" s="2" t="n">
        <v>132.92</v>
      </c>
      <c r="Q200" s="2" t="n">
        <v>9.57</v>
      </c>
      <c r="R200" s="2" t="s">
        <v>32</v>
      </c>
      <c r="S200" s="2" t="s">
        <v>33</v>
      </c>
    </row>
    <row r="201" customFormat="false" ht="15" hidden="false" customHeight="false" outlineLevel="0" collapsed="false">
      <c r="A201" s="2" t="s">
        <v>1395</v>
      </c>
      <c r="B201" s="2" t="s">
        <v>1396</v>
      </c>
      <c r="C201" s="2" t="s">
        <v>1397</v>
      </c>
      <c r="D201" s="2" t="s">
        <v>1398</v>
      </c>
      <c r="E201" s="2" t="s">
        <v>1399</v>
      </c>
      <c r="F201" s="2" t="s">
        <v>39</v>
      </c>
      <c r="G201" s="2" t="s">
        <v>1400</v>
      </c>
      <c r="H201" s="2" t="s">
        <v>128</v>
      </c>
      <c r="I201" s="2" t="s">
        <v>42</v>
      </c>
      <c r="J201" s="2" t="s">
        <v>343</v>
      </c>
      <c r="K201" s="2" t="s">
        <v>234</v>
      </c>
      <c r="L201" s="2" t="s">
        <v>495</v>
      </c>
      <c r="M201" s="2" t="s">
        <v>1401</v>
      </c>
      <c r="N201" s="2" t="n">
        <v>4</v>
      </c>
      <c r="O201" s="2" t="n">
        <v>0.5</v>
      </c>
      <c r="P201" s="2" t="n">
        <v>-193.27</v>
      </c>
      <c r="Q201" s="2" t="n">
        <v>34.56</v>
      </c>
      <c r="R201" s="2" t="s">
        <v>86</v>
      </c>
      <c r="S201" s="2" t="s">
        <v>33</v>
      </c>
    </row>
    <row r="202" customFormat="false" ht="15" hidden="false" customHeight="false" outlineLevel="0" collapsed="false">
      <c r="A202" s="2" t="s">
        <v>1402</v>
      </c>
      <c r="B202" s="2" t="s">
        <v>1403</v>
      </c>
      <c r="C202" s="2" t="s">
        <v>1404</v>
      </c>
      <c r="D202" s="2" t="s">
        <v>1405</v>
      </c>
      <c r="E202" s="2" t="s">
        <v>1406</v>
      </c>
      <c r="F202" s="2" t="s">
        <v>782</v>
      </c>
      <c r="G202" s="2" t="s">
        <v>1407</v>
      </c>
      <c r="H202" s="2" t="s">
        <v>198</v>
      </c>
      <c r="I202" s="2" t="s">
        <v>106</v>
      </c>
      <c r="J202" s="2" t="s">
        <v>343</v>
      </c>
      <c r="K202" s="2" t="s">
        <v>234</v>
      </c>
      <c r="L202" s="2" t="s">
        <v>235</v>
      </c>
      <c r="M202" s="2" t="s">
        <v>1408</v>
      </c>
      <c r="N202" s="2" t="n">
        <v>3</v>
      </c>
      <c r="O202" s="2" t="n">
        <v>0.2</v>
      </c>
      <c r="P202" s="2" t="n">
        <v>-53.45</v>
      </c>
      <c r="Q202" s="2" t="n">
        <v>16.34</v>
      </c>
      <c r="R202" s="2" t="s">
        <v>109</v>
      </c>
      <c r="S202" s="2" t="s">
        <v>110</v>
      </c>
    </row>
    <row r="203" customFormat="false" ht="15" hidden="false" customHeight="false" outlineLevel="0" collapsed="false">
      <c r="A203" s="2" t="s">
        <v>1409</v>
      </c>
      <c r="B203" s="2" t="s">
        <v>1410</v>
      </c>
      <c r="C203" s="2" t="s">
        <v>1411</v>
      </c>
      <c r="D203" s="2" t="s">
        <v>470</v>
      </c>
      <c r="E203" s="2" t="s">
        <v>471</v>
      </c>
      <c r="F203" s="2" t="s">
        <v>1412</v>
      </c>
      <c r="G203" s="2" t="s">
        <v>1241</v>
      </c>
      <c r="H203" s="2" t="s">
        <v>26</v>
      </c>
      <c r="I203" s="2" t="s">
        <v>27</v>
      </c>
      <c r="J203" s="2" t="s">
        <v>129</v>
      </c>
      <c r="K203" s="2" t="s">
        <v>94</v>
      </c>
      <c r="L203" s="2" t="s">
        <v>210</v>
      </c>
      <c r="M203" s="2" t="s">
        <v>1413</v>
      </c>
      <c r="N203" s="2" t="n">
        <v>12</v>
      </c>
      <c r="O203" s="2" t="n">
        <v>0.3</v>
      </c>
      <c r="P203" s="2" t="n">
        <v>22.15</v>
      </c>
      <c r="Q203" s="2" t="n">
        <v>48.42</v>
      </c>
      <c r="R203" s="2" t="s">
        <v>133</v>
      </c>
      <c r="S203" s="2" t="s">
        <v>110</v>
      </c>
    </row>
    <row r="204" customFormat="false" ht="15" hidden="false" customHeight="false" outlineLevel="0" collapsed="false">
      <c r="A204" s="2" t="s">
        <v>1414</v>
      </c>
      <c r="B204" s="2" t="s">
        <v>1415</v>
      </c>
      <c r="C204" s="2" t="s">
        <v>1416</v>
      </c>
      <c r="D204" s="2" t="s">
        <v>1417</v>
      </c>
      <c r="E204" s="2" t="s">
        <v>1418</v>
      </c>
      <c r="F204" s="2" t="s">
        <v>66</v>
      </c>
      <c r="G204" s="2" t="s">
        <v>1180</v>
      </c>
      <c r="H204" s="2" t="s">
        <v>480</v>
      </c>
      <c r="I204" s="2" t="s">
        <v>54</v>
      </c>
      <c r="J204" s="2" t="s">
        <v>93</v>
      </c>
      <c r="K204" s="2" t="s">
        <v>199</v>
      </c>
      <c r="L204" s="2" t="s">
        <v>200</v>
      </c>
      <c r="M204" s="2" t="s">
        <v>1419</v>
      </c>
      <c r="N204" s="2" t="n">
        <v>5</v>
      </c>
      <c r="O204" s="2" t="n">
        <v>0.1</v>
      </c>
      <c r="P204" s="2" t="n">
        <v>14.63</v>
      </c>
      <c r="Q204" s="2"/>
      <c r="R204" s="2" t="s">
        <v>86</v>
      </c>
      <c r="S204" s="2" t="s">
        <v>33</v>
      </c>
    </row>
    <row r="205" customFormat="false" ht="15" hidden="false" customHeight="false" outlineLevel="0" collapsed="false">
      <c r="A205" s="2" t="s">
        <v>1420</v>
      </c>
      <c r="B205" s="2" t="s">
        <v>1421</v>
      </c>
      <c r="C205" s="2" t="s">
        <v>1422</v>
      </c>
      <c r="D205" s="2" t="s">
        <v>194</v>
      </c>
      <c r="E205" s="2" t="s">
        <v>195</v>
      </c>
      <c r="F205" s="2" t="s">
        <v>66</v>
      </c>
      <c r="G205" s="2" t="s">
        <v>1423</v>
      </c>
      <c r="H205" s="2" t="s">
        <v>612</v>
      </c>
      <c r="I205" s="2" t="s">
        <v>106</v>
      </c>
      <c r="J205" s="2" t="s">
        <v>188</v>
      </c>
      <c r="K205" s="2" t="s">
        <v>44</v>
      </c>
      <c r="L205" s="2" t="s">
        <v>300</v>
      </c>
      <c r="M205" s="2" t="s">
        <v>1424</v>
      </c>
      <c r="N205" s="2" t="n">
        <v>8</v>
      </c>
      <c r="O205" s="2" t="n">
        <v>0.3</v>
      </c>
      <c r="P205" s="2" t="n">
        <v>-78.88</v>
      </c>
      <c r="Q205" s="2" t="n">
        <v>59.42</v>
      </c>
      <c r="R205" s="2" t="s">
        <v>32</v>
      </c>
      <c r="S205" s="2" t="s">
        <v>73</v>
      </c>
    </row>
    <row r="206" customFormat="false" ht="15" hidden="false" customHeight="false" outlineLevel="0" collapsed="false">
      <c r="A206" s="2" t="s">
        <v>1425</v>
      </c>
      <c r="B206" s="2" t="s">
        <v>1426</v>
      </c>
      <c r="C206" s="2" t="s">
        <v>1427</v>
      </c>
      <c r="D206" s="2" t="s">
        <v>1428</v>
      </c>
      <c r="E206" s="2" t="s">
        <v>1429</v>
      </c>
      <c r="F206" s="2" t="s">
        <v>66</v>
      </c>
      <c r="G206" s="2" t="s">
        <v>1129</v>
      </c>
      <c r="H206" s="2" t="s">
        <v>243</v>
      </c>
      <c r="I206" s="2" t="s">
        <v>54</v>
      </c>
      <c r="J206" s="2" t="s">
        <v>387</v>
      </c>
      <c r="K206" s="2" t="s">
        <v>199</v>
      </c>
      <c r="L206" s="2" t="s">
        <v>200</v>
      </c>
      <c r="M206" s="2" t="s">
        <v>1430</v>
      </c>
      <c r="N206" s="2" t="n">
        <v>7</v>
      </c>
      <c r="O206" s="2" t="n">
        <v>0.3</v>
      </c>
      <c r="P206" s="2" t="n">
        <v>5.61</v>
      </c>
      <c r="Q206" s="2" t="n">
        <v>41.64</v>
      </c>
      <c r="R206" s="2" t="s">
        <v>109</v>
      </c>
      <c r="S206" s="2" t="s">
        <v>33</v>
      </c>
    </row>
    <row r="207" customFormat="false" ht="15" hidden="false" customHeight="false" outlineLevel="0" collapsed="false">
      <c r="A207" s="2" t="s">
        <v>1431</v>
      </c>
      <c r="B207" s="2" t="s">
        <v>1432</v>
      </c>
      <c r="C207" s="2" t="s">
        <v>1433</v>
      </c>
      <c r="D207" s="2" t="s">
        <v>1434</v>
      </c>
      <c r="E207" s="2" t="s">
        <v>1435</v>
      </c>
      <c r="F207" s="2" t="s">
        <v>79</v>
      </c>
      <c r="G207" s="2" t="s">
        <v>1082</v>
      </c>
      <c r="H207" s="2" t="s">
        <v>286</v>
      </c>
      <c r="I207" s="2" t="s">
        <v>54</v>
      </c>
      <c r="J207" s="2" t="s">
        <v>43</v>
      </c>
      <c r="K207" s="2" t="s">
        <v>56</v>
      </c>
      <c r="L207" s="2" t="s">
        <v>536</v>
      </c>
      <c r="M207" s="2" t="s">
        <v>1436</v>
      </c>
      <c r="N207" s="2" t="n">
        <v>1</v>
      </c>
      <c r="O207" s="2" t="n">
        <v>0.3</v>
      </c>
      <c r="P207" s="2" t="n">
        <v>4.19</v>
      </c>
      <c r="Q207" s="2" t="n">
        <v>52.28</v>
      </c>
      <c r="R207" s="2" t="s">
        <v>440</v>
      </c>
      <c r="S207" s="2" t="s">
        <v>33</v>
      </c>
    </row>
    <row r="208" customFormat="false" ht="15" hidden="false" customHeight="false" outlineLevel="0" collapsed="false">
      <c r="A208" s="2" t="s">
        <v>1437</v>
      </c>
      <c r="B208" s="2" t="s">
        <v>1438</v>
      </c>
      <c r="C208" s="2" t="s">
        <v>1439</v>
      </c>
      <c r="D208" s="2" t="s">
        <v>1440</v>
      </c>
      <c r="E208" s="2" t="s">
        <v>1441</v>
      </c>
      <c r="F208" s="2" t="s">
        <v>149</v>
      </c>
      <c r="G208" s="2" t="s">
        <v>850</v>
      </c>
      <c r="H208" s="2" t="s">
        <v>128</v>
      </c>
      <c r="I208" s="2" t="s">
        <v>42</v>
      </c>
      <c r="J208" s="2" t="s">
        <v>93</v>
      </c>
      <c r="K208" s="2" t="s">
        <v>141</v>
      </c>
      <c r="L208" s="2" t="s">
        <v>269</v>
      </c>
      <c r="M208" s="2" t="s">
        <v>1442</v>
      </c>
      <c r="N208" s="2" t="n">
        <v>6</v>
      </c>
      <c r="O208" s="2" t="n">
        <v>0</v>
      </c>
      <c r="P208" s="2" t="n">
        <v>26.33</v>
      </c>
      <c r="Q208" s="2" t="n">
        <v>57.31</v>
      </c>
      <c r="R208" s="2" t="s">
        <v>992</v>
      </c>
      <c r="S208" s="2" t="s">
        <v>60</v>
      </c>
    </row>
    <row r="209" customFormat="false" ht="15" hidden="false" customHeight="false" outlineLevel="0" collapsed="false">
      <c r="A209" s="2" t="s">
        <v>1443</v>
      </c>
      <c r="B209" s="2" t="s">
        <v>1444</v>
      </c>
      <c r="C209" s="2" t="s">
        <v>1445</v>
      </c>
      <c r="D209" s="2" t="s">
        <v>1446</v>
      </c>
      <c r="E209" s="2" t="s">
        <v>1447</v>
      </c>
      <c r="F209" s="2" t="s">
        <v>179</v>
      </c>
      <c r="G209" s="2" t="s">
        <v>915</v>
      </c>
      <c r="H209" s="2" t="s">
        <v>259</v>
      </c>
      <c r="I209" s="2" t="s">
        <v>106</v>
      </c>
      <c r="J209" s="2" t="s">
        <v>129</v>
      </c>
      <c r="K209" s="2" t="s">
        <v>94</v>
      </c>
      <c r="L209" s="2" t="s">
        <v>210</v>
      </c>
      <c r="M209" s="2" t="s">
        <v>1448</v>
      </c>
      <c r="N209" s="2" t="n">
        <v>2</v>
      </c>
      <c r="O209" s="2" t="n">
        <v>0.4</v>
      </c>
      <c r="P209" s="2" t="n">
        <v>-3.5</v>
      </c>
      <c r="Q209" s="2" t="n">
        <v>26.92</v>
      </c>
      <c r="R209" s="2" t="s">
        <v>190</v>
      </c>
      <c r="S209" s="2" t="s">
        <v>60</v>
      </c>
    </row>
    <row r="210" customFormat="false" ht="15" hidden="false" customHeight="false" outlineLevel="0" collapsed="false">
      <c r="A210" s="2" t="s">
        <v>1449</v>
      </c>
      <c r="B210" s="2" t="s">
        <v>1450</v>
      </c>
      <c r="C210" s="2" t="s">
        <v>1451</v>
      </c>
      <c r="D210" s="2" t="s">
        <v>1452</v>
      </c>
      <c r="E210" s="2" t="s">
        <v>1453</v>
      </c>
      <c r="F210" s="2" t="s">
        <v>149</v>
      </c>
      <c r="G210" s="2" t="s">
        <v>1454</v>
      </c>
      <c r="H210" s="2" t="s">
        <v>26</v>
      </c>
      <c r="I210" s="2" t="s">
        <v>27</v>
      </c>
      <c r="J210" s="2" t="s">
        <v>93</v>
      </c>
      <c r="K210" s="2" t="s">
        <v>130</v>
      </c>
      <c r="L210" s="2" t="s">
        <v>522</v>
      </c>
      <c r="M210" s="2" t="s">
        <v>1455</v>
      </c>
      <c r="N210" s="2" t="n">
        <v>11</v>
      </c>
      <c r="O210" s="2" t="n">
        <v>0.15</v>
      </c>
      <c r="P210" s="2" t="n">
        <v>33.02</v>
      </c>
      <c r="Q210" s="2" t="n">
        <v>13.36</v>
      </c>
      <c r="R210" s="2" t="s">
        <v>181</v>
      </c>
      <c r="S210" s="2" t="s">
        <v>110</v>
      </c>
    </row>
    <row r="211" customFormat="false" ht="15" hidden="false" customHeight="false" outlineLevel="0" collapsed="false">
      <c r="A211" s="2" t="s">
        <v>1456</v>
      </c>
      <c r="B211" s="2" t="s">
        <v>1457</v>
      </c>
      <c r="C211" s="2" t="s">
        <v>1458</v>
      </c>
      <c r="D211" s="2" t="s">
        <v>1459</v>
      </c>
      <c r="E211" s="2" t="s">
        <v>1460</v>
      </c>
      <c r="F211" s="2" t="s">
        <v>24</v>
      </c>
      <c r="G211" s="2" t="s">
        <v>372</v>
      </c>
      <c r="H211" s="2" t="s">
        <v>373</v>
      </c>
      <c r="I211" s="2" t="s">
        <v>27</v>
      </c>
      <c r="J211" s="2" t="s">
        <v>129</v>
      </c>
      <c r="K211" s="2" t="s">
        <v>141</v>
      </c>
      <c r="L211" s="2" t="s">
        <v>864</v>
      </c>
      <c r="M211" s="2" t="s">
        <v>1461</v>
      </c>
      <c r="N211" s="2" t="n">
        <v>4</v>
      </c>
      <c r="O211" s="2" t="n">
        <v>0</v>
      </c>
      <c r="P211" s="2" t="n">
        <v>31.62</v>
      </c>
      <c r="Q211" s="2" t="n">
        <v>34.26</v>
      </c>
      <c r="R211" s="2" t="s">
        <v>86</v>
      </c>
      <c r="S211" s="2" t="s">
        <v>73</v>
      </c>
    </row>
    <row r="212" customFormat="false" ht="15" hidden="false" customHeight="false" outlineLevel="0" collapsed="false">
      <c r="A212" s="2" t="s">
        <v>1462</v>
      </c>
      <c r="B212" s="2" t="s">
        <v>1463</v>
      </c>
      <c r="C212" s="2" t="s">
        <v>1464</v>
      </c>
      <c r="D212" s="2" t="s">
        <v>1465</v>
      </c>
      <c r="E212" s="2" t="s">
        <v>1466</v>
      </c>
      <c r="F212" s="2" t="s">
        <v>149</v>
      </c>
      <c r="G212" s="2" t="s">
        <v>322</v>
      </c>
      <c r="H212" s="2" t="s">
        <v>117</v>
      </c>
      <c r="I212" s="2" t="s">
        <v>27</v>
      </c>
      <c r="J212" s="2" t="s">
        <v>82</v>
      </c>
      <c r="K212" s="2" t="s">
        <v>118</v>
      </c>
      <c r="L212" s="2" t="s">
        <v>260</v>
      </c>
      <c r="M212" s="2" t="s">
        <v>1467</v>
      </c>
      <c r="N212" s="2" t="n">
        <v>5</v>
      </c>
      <c r="O212" s="2" t="n">
        <v>0.15</v>
      </c>
      <c r="P212" s="2" t="n">
        <v>314.53</v>
      </c>
      <c r="Q212" s="2" t="n">
        <v>31.44</v>
      </c>
      <c r="R212" s="2" t="s">
        <v>162</v>
      </c>
      <c r="S212" s="2" t="s">
        <v>73</v>
      </c>
    </row>
    <row r="213" customFormat="false" ht="15" hidden="false" customHeight="false" outlineLevel="0" collapsed="false">
      <c r="A213" s="2" t="s">
        <v>1468</v>
      </c>
      <c r="B213" s="2" t="s">
        <v>1469</v>
      </c>
      <c r="C213" s="2" t="s">
        <v>1470</v>
      </c>
      <c r="D213" s="2" t="s">
        <v>714</v>
      </c>
      <c r="E213" s="2" t="s">
        <v>715</v>
      </c>
      <c r="F213" s="2" t="s">
        <v>594</v>
      </c>
      <c r="G213" s="2" t="s">
        <v>457</v>
      </c>
      <c r="H213" s="2" t="s">
        <v>151</v>
      </c>
      <c r="I213" s="2" t="s">
        <v>27</v>
      </c>
      <c r="J213" s="2" t="s">
        <v>244</v>
      </c>
      <c r="K213" s="2" t="s">
        <v>56</v>
      </c>
      <c r="L213" s="2" t="s">
        <v>57</v>
      </c>
      <c r="M213" s="2" t="s">
        <v>1471</v>
      </c>
      <c r="N213" s="2" t="n">
        <v>5</v>
      </c>
      <c r="O213" s="2" t="n">
        <v>0.1</v>
      </c>
      <c r="P213" s="2" t="n">
        <v>887.87</v>
      </c>
      <c r="Q213" s="2" t="n">
        <v>23.18</v>
      </c>
      <c r="R213" s="2" t="s">
        <v>202</v>
      </c>
      <c r="S213" s="2" t="s">
        <v>73</v>
      </c>
    </row>
    <row r="214" customFormat="false" ht="15" hidden="false" customHeight="false" outlineLevel="0" collapsed="false">
      <c r="A214" s="2" t="s">
        <v>1472</v>
      </c>
      <c r="B214" s="2" t="s">
        <v>1473</v>
      </c>
      <c r="C214" s="2" t="s">
        <v>1474</v>
      </c>
      <c r="D214" s="2" t="s">
        <v>1475</v>
      </c>
      <c r="E214" s="2" t="s">
        <v>1476</v>
      </c>
      <c r="F214" s="2" t="s">
        <v>196</v>
      </c>
      <c r="G214" s="2" t="s">
        <v>611</v>
      </c>
      <c r="H214" s="2" t="s">
        <v>612</v>
      </c>
      <c r="I214" s="2" t="s">
        <v>106</v>
      </c>
      <c r="J214" s="2" t="s">
        <v>244</v>
      </c>
      <c r="K214" s="2" t="s">
        <v>56</v>
      </c>
      <c r="L214" s="2" t="s">
        <v>536</v>
      </c>
      <c r="M214" s="2" t="s">
        <v>1477</v>
      </c>
      <c r="N214" s="2" t="n">
        <v>3</v>
      </c>
      <c r="O214" s="2" t="n">
        <v>0</v>
      </c>
      <c r="P214" s="2" t="n">
        <v>71.19</v>
      </c>
      <c r="Q214" s="2" t="n">
        <v>47.24</v>
      </c>
      <c r="R214" s="2" t="s">
        <v>86</v>
      </c>
      <c r="S214" s="2" t="s">
        <v>60</v>
      </c>
    </row>
    <row r="215" customFormat="false" ht="15" hidden="false" customHeight="false" outlineLevel="0" collapsed="false">
      <c r="A215" s="2" t="s">
        <v>1478</v>
      </c>
      <c r="B215" s="2" t="s">
        <v>1479</v>
      </c>
      <c r="C215" s="2" t="s">
        <v>1480</v>
      </c>
      <c r="D215" s="2" t="s">
        <v>1481</v>
      </c>
      <c r="E215" s="2" t="s">
        <v>1482</v>
      </c>
      <c r="F215" s="2" t="s">
        <v>24</v>
      </c>
      <c r="G215" s="2" t="s">
        <v>330</v>
      </c>
      <c r="H215" s="2" t="s">
        <v>243</v>
      </c>
      <c r="I215" s="2" t="s">
        <v>54</v>
      </c>
      <c r="J215" s="2" t="s">
        <v>343</v>
      </c>
      <c r="K215" s="2" t="s">
        <v>118</v>
      </c>
      <c r="L215" s="2" t="s">
        <v>119</v>
      </c>
      <c r="M215" s="2" t="s">
        <v>1483</v>
      </c>
      <c r="N215" s="2" t="n">
        <v>10</v>
      </c>
      <c r="O215" s="2" t="n">
        <v>0.15</v>
      </c>
      <c r="P215" s="2" t="n">
        <v>464.64</v>
      </c>
      <c r="Q215" s="2" t="n">
        <v>3.12</v>
      </c>
      <c r="R215" s="2" t="s">
        <v>133</v>
      </c>
      <c r="S215" s="2" t="s">
        <v>33</v>
      </c>
    </row>
    <row r="216" customFormat="false" ht="15" hidden="false" customHeight="false" outlineLevel="0" collapsed="false">
      <c r="A216" s="2" t="s">
        <v>1484</v>
      </c>
      <c r="B216" s="2" t="s">
        <v>1485</v>
      </c>
      <c r="C216" s="2" t="s">
        <v>1486</v>
      </c>
      <c r="D216" s="2" t="s">
        <v>1487</v>
      </c>
      <c r="E216" s="2" t="s">
        <v>1488</v>
      </c>
      <c r="F216" s="2" t="s">
        <v>196</v>
      </c>
      <c r="G216" s="2" t="s">
        <v>543</v>
      </c>
      <c r="H216" s="2" t="s">
        <v>41</v>
      </c>
      <c r="I216" s="2" t="s">
        <v>42</v>
      </c>
      <c r="J216" s="2" t="s">
        <v>82</v>
      </c>
      <c r="K216" s="2" t="s">
        <v>118</v>
      </c>
      <c r="L216" s="2" t="s">
        <v>119</v>
      </c>
      <c r="M216" s="2" t="s">
        <v>1489</v>
      </c>
      <c r="N216" s="2" t="n">
        <v>4</v>
      </c>
      <c r="O216" s="2" t="n">
        <v>0</v>
      </c>
      <c r="P216" s="2" t="n">
        <v>155.25</v>
      </c>
      <c r="Q216" s="2" t="n">
        <v>55.5</v>
      </c>
      <c r="R216" s="2" t="s">
        <v>181</v>
      </c>
      <c r="S216" s="2" t="s">
        <v>33</v>
      </c>
    </row>
    <row r="217" customFormat="false" ht="15" hidden="false" customHeight="false" outlineLevel="0" collapsed="false">
      <c r="A217" s="2" t="s">
        <v>1490</v>
      </c>
      <c r="B217" s="2" t="s">
        <v>1491</v>
      </c>
      <c r="C217" s="2" t="s">
        <v>1492</v>
      </c>
      <c r="D217" s="2" t="s">
        <v>1042</v>
      </c>
      <c r="E217" s="2" t="s">
        <v>1043</v>
      </c>
      <c r="F217" s="2" t="s">
        <v>39</v>
      </c>
      <c r="G217" s="2" t="s">
        <v>1180</v>
      </c>
      <c r="H217" s="2" t="s">
        <v>480</v>
      </c>
      <c r="I217" s="2" t="s">
        <v>54</v>
      </c>
      <c r="J217" s="2" t="s">
        <v>82</v>
      </c>
      <c r="K217" s="2" t="s">
        <v>83</v>
      </c>
      <c r="L217" s="2" t="s">
        <v>569</v>
      </c>
      <c r="M217" s="2" t="s">
        <v>1493</v>
      </c>
      <c r="N217" s="2" t="n">
        <v>6</v>
      </c>
      <c r="O217" s="2" t="n">
        <v>0.2</v>
      </c>
      <c r="P217" s="2" t="n">
        <v>492.63</v>
      </c>
      <c r="Q217" s="2" t="n">
        <v>46.72</v>
      </c>
      <c r="R217" s="2" t="s">
        <v>133</v>
      </c>
      <c r="S217" s="2" t="s">
        <v>110</v>
      </c>
    </row>
    <row r="218" customFormat="false" ht="15" hidden="false" customHeight="false" outlineLevel="0" collapsed="false">
      <c r="A218" s="2" t="s">
        <v>1494</v>
      </c>
      <c r="B218" s="2" t="s">
        <v>1495</v>
      </c>
      <c r="C218" s="2" t="s">
        <v>1496</v>
      </c>
      <c r="D218" s="2" t="s">
        <v>1497</v>
      </c>
      <c r="E218" s="2" t="s">
        <v>1498</v>
      </c>
      <c r="F218" s="2" t="s">
        <v>103</v>
      </c>
      <c r="G218" s="2" t="s">
        <v>1499</v>
      </c>
      <c r="H218" s="2" t="s">
        <v>160</v>
      </c>
      <c r="I218" s="2" t="s">
        <v>27</v>
      </c>
      <c r="J218" s="2" t="s">
        <v>343</v>
      </c>
      <c r="K218" s="2" t="s">
        <v>83</v>
      </c>
      <c r="L218" s="2" t="s">
        <v>84</v>
      </c>
      <c r="M218" s="2" t="s">
        <v>1500</v>
      </c>
      <c r="N218" s="2" t="n">
        <v>10</v>
      </c>
      <c r="O218" s="2"/>
      <c r="P218" s="2" t="n">
        <v>95.29</v>
      </c>
      <c r="Q218" s="2" t="n">
        <v>42.14</v>
      </c>
      <c r="R218" s="2" t="s">
        <v>32</v>
      </c>
      <c r="S218" s="2" t="s">
        <v>73</v>
      </c>
    </row>
    <row r="219" customFormat="false" ht="15" hidden="false" customHeight="false" outlineLevel="0" collapsed="false">
      <c r="A219" s="2" t="s">
        <v>1501</v>
      </c>
      <c r="B219" s="2" t="s">
        <v>1502</v>
      </c>
      <c r="C219" s="2" t="s">
        <v>1503</v>
      </c>
      <c r="D219" s="2" t="s">
        <v>1504</v>
      </c>
      <c r="E219" s="2" t="s">
        <v>1505</v>
      </c>
      <c r="F219" s="2" t="s">
        <v>594</v>
      </c>
      <c r="G219" s="2" t="s">
        <v>1506</v>
      </c>
      <c r="H219" s="2" t="s">
        <v>315</v>
      </c>
      <c r="I219" s="2" t="s">
        <v>54</v>
      </c>
      <c r="J219" s="2" t="s">
        <v>217</v>
      </c>
      <c r="K219" s="2" t="s">
        <v>94</v>
      </c>
      <c r="L219" s="2" t="s">
        <v>95</v>
      </c>
      <c r="M219" s="2" t="s">
        <v>1507</v>
      </c>
      <c r="N219" s="2" t="n">
        <v>8</v>
      </c>
      <c r="O219" s="2" t="n">
        <v>0.3</v>
      </c>
      <c r="P219" s="2" t="n">
        <v>9.56</v>
      </c>
      <c r="Q219" s="2" t="n">
        <v>25.18</v>
      </c>
      <c r="R219" s="2" t="s">
        <v>32</v>
      </c>
      <c r="S219" s="2" t="s">
        <v>33</v>
      </c>
    </row>
    <row r="220" customFormat="false" ht="15" hidden="false" customHeight="false" outlineLevel="0" collapsed="false">
      <c r="A220" s="2" t="s">
        <v>1508</v>
      </c>
      <c r="B220" s="2" t="s">
        <v>1509</v>
      </c>
      <c r="C220" s="2" t="s">
        <v>1510</v>
      </c>
      <c r="D220" s="2" t="s">
        <v>1511</v>
      </c>
      <c r="E220" s="2" t="s">
        <v>1512</v>
      </c>
      <c r="F220" s="2" t="s">
        <v>1412</v>
      </c>
      <c r="G220" s="2" t="s">
        <v>595</v>
      </c>
      <c r="H220" s="2" t="s">
        <v>140</v>
      </c>
      <c r="I220" s="2" t="s">
        <v>54</v>
      </c>
      <c r="J220" s="2" t="s">
        <v>82</v>
      </c>
      <c r="K220" s="2" t="s">
        <v>29</v>
      </c>
      <c r="L220" s="2" t="s">
        <v>30</v>
      </c>
      <c r="M220" s="2" t="s">
        <v>1513</v>
      </c>
      <c r="N220" s="2" t="n">
        <v>8</v>
      </c>
      <c r="O220" s="2" t="n">
        <v>0.15</v>
      </c>
      <c r="P220" s="2" t="n">
        <v>606.42</v>
      </c>
      <c r="Q220" s="2" t="n">
        <v>24.53</v>
      </c>
      <c r="R220" s="2" t="s">
        <v>181</v>
      </c>
      <c r="S220" s="2" t="s">
        <v>60</v>
      </c>
    </row>
    <row r="221" customFormat="false" ht="15" hidden="false" customHeight="false" outlineLevel="0" collapsed="false">
      <c r="A221" s="2" t="s">
        <v>1514</v>
      </c>
      <c r="B221" s="2" t="s">
        <v>1515</v>
      </c>
      <c r="C221" s="2" t="s">
        <v>1516</v>
      </c>
      <c r="D221" s="2" t="s">
        <v>933</v>
      </c>
      <c r="E221" s="2" t="s">
        <v>934</v>
      </c>
      <c r="F221" s="2" t="s">
        <v>66</v>
      </c>
      <c r="G221" s="2" t="s">
        <v>1124</v>
      </c>
      <c r="H221" s="2" t="s">
        <v>68</v>
      </c>
      <c r="I221" s="2" t="s">
        <v>42</v>
      </c>
      <c r="J221" s="2" t="s">
        <v>55</v>
      </c>
      <c r="K221" s="2" t="s">
        <v>69</v>
      </c>
      <c r="L221" s="2" t="s">
        <v>417</v>
      </c>
      <c r="M221" s="2" t="s">
        <v>1517</v>
      </c>
      <c r="N221" s="2" t="n">
        <v>4</v>
      </c>
      <c r="O221" s="2" t="n">
        <v>0.4</v>
      </c>
      <c r="P221" s="2" t="n">
        <v>-5.65</v>
      </c>
      <c r="Q221" s="2" t="n">
        <v>45.9</v>
      </c>
      <c r="R221" s="2" t="s">
        <v>86</v>
      </c>
      <c r="S221" s="2" t="s">
        <v>33</v>
      </c>
    </row>
    <row r="222" customFormat="false" ht="15" hidden="false" customHeight="false" outlineLevel="0" collapsed="false">
      <c r="A222" s="2" t="s">
        <v>1518</v>
      </c>
      <c r="B222" s="2" t="s">
        <v>1519</v>
      </c>
      <c r="C222" s="2" t="s">
        <v>1520</v>
      </c>
      <c r="D222" s="2" t="s">
        <v>1521</v>
      </c>
      <c r="E222" s="2" t="s">
        <v>1522</v>
      </c>
      <c r="F222" s="2" t="s">
        <v>149</v>
      </c>
      <c r="G222" s="2" t="s">
        <v>1523</v>
      </c>
      <c r="H222" s="2" t="s">
        <v>117</v>
      </c>
      <c r="I222" s="2" t="s">
        <v>27</v>
      </c>
      <c r="J222" s="2" t="s">
        <v>217</v>
      </c>
      <c r="K222" s="2" t="s">
        <v>388</v>
      </c>
      <c r="L222" s="2" t="s">
        <v>389</v>
      </c>
      <c r="M222" s="2" t="s">
        <v>1524</v>
      </c>
      <c r="N222" s="2" t="n">
        <v>1</v>
      </c>
      <c r="O222" s="2" t="n">
        <v>0.15</v>
      </c>
      <c r="P222" s="2" t="n">
        <v>0.85</v>
      </c>
      <c r="Q222" s="2" t="n">
        <v>52.65</v>
      </c>
      <c r="R222" s="2" t="s">
        <v>59</v>
      </c>
      <c r="S222" s="2" t="s">
        <v>110</v>
      </c>
    </row>
    <row r="223" customFormat="false" ht="15" hidden="false" customHeight="false" outlineLevel="0" collapsed="false">
      <c r="A223" s="2" t="s">
        <v>1525</v>
      </c>
      <c r="B223" s="2" t="s">
        <v>1526</v>
      </c>
      <c r="C223" s="2" t="s">
        <v>1527</v>
      </c>
      <c r="D223" s="2" t="s">
        <v>1528</v>
      </c>
      <c r="E223" s="2" t="s">
        <v>1529</v>
      </c>
      <c r="F223" s="2" t="s">
        <v>24</v>
      </c>
      <c r="G223" s="2" t="s">
        <v>1530</v>
      </c>
      <c r="H223" s="2" t="s">
        <v>225</v>
      </c>
      <c r="I223" s="2" t="s">
        <v>42</v>
      </c>
      <c r="J223" s="2" t="s">
        <v>343</v>
      </c>
      <c r="K223" s="2" t="s">
        <v>29</v>
      </c>
      <c r="L223" s="2" t="s">
        <v>374</v>
      </c>
      <c r="M223" s="2" t="s">
        <v>1531</v>
      </c>
      <c r="N223" s="2" t="n">
        <v>7</v>
      </c>
      <c r="O223" s="2" t="n">
        <v>0.15</v>
      </c>
      <c r="P223" s="2" t="n">
        <v>790.16</v>
      </c>
      <c r="Q223" s="2" t="n">
        <v>18.68</v>
      </c>
      <c r="R223" s="2" t="s">
        <v>86</v>
      </c>
      <c r="S223" s="2" t="s">
        <v>73</v>
      </c>
    </row>
    <row r="224" customFormat="false" ht="15" hidden="false" customHeight="false" outlineLevel="0" collapsed="false">
      <c r="A224" s="2" t="s">
        <v>1532</v>
      </c>
      <c r="B224" s="2" t="s">
        <v>1533</v>
      </c>
      <c r="C224" s="2" t="s">
        <v>1534</v>
      </c>
      <c r="D224" s="2" t="s">
        <v>1535</v>
      </c>
      <c r="E224" s="2" t="s">
        <v>1536</v>
      </c>
      <c r="F224" s="2" t="s">
        <v>66</v>
      </c>
      <c r="G224" s="2" t="s">
        <v>1537</v>
      </c>
      <c r="H224" s="2" t="s">
        <v>365</v>
      </c>
      <c r="I224" s="2" t="s">
        <v>106</v>
      </c>
      <c r="J224" s="2" t="s">
        <v>82</v>
      </c>
      <c r="K224" s="2" t="s">
        <v>29</v>
      </c>
      <c r="L224" s="2" t="s">
        <v>30</v>
      </c>
      <c r="M224" s="2" t="s">
        <v>1538</v>
      </c>
      <c r="N224" s="2" t="n">
        <v>9</v>
      </c>
      <c r="O224" s="2" t="n">
        <v>0.3</v>
      </c>
      <c r="P224" s="2" t="n">
        <v>-17.67</v>
      </c>
      <c r="Q224" s="2" t="n">
        <v>34.1</v>
      </c>
      <c r="R224" s="2" t="s">
        <v>133</v>
      </c>
      <c r="S224" s="2" t="s">
        <v>73</v>
      </c>
    </row>
    <row r="225" customFormat="false" ht="15" hidden="false" customHeight="false" outlineLevel="0" collapsed="false">
      <c r="A225" s="2" t="s">
        <v>1539</v>
      </c>
      <c r="B225" s="2" t="s">
        <v>1540</v>
      </c>
      <c r="C225" s="2" t="s">
        <v>1541</v>
      </c>
      <c r="D225" s="2" t="s">
        <v>1542</v>
      </c>
      <c r="E225" s="2" t="s">
        <v>1543</v>
      </c>
      <c r="F225" s="2" t="s">
        <v>79</v>
      </c>
      <c r="G225" s="2" t="s">
        <v>1180</v>
      </c>
      <c r="H225" s="2" t="s">
        <v>480</v>
      </c>
      <c r="I225" s="2" t="s">
        <v>54</v>
      </c>
      <c r="J225" s="2" t="s">
        <v>55</v>
      </c>
      <c r="K225" s="2" t="s">
        <v>44</v>
      </c>
      <c r="L225" s="2" t="s">
        <v>351</v>
      </c>
      <c r="M225" s="2" t="s">
        <v>1544</v>
      </c>
      <c r="N225" s="2" t="n">
        <v>12</v>
      </c>
      <c r="O225" s="2" t="n">
        <v>0</v>
      </c>
      <c r="P225" s="2" t="n">
        <v>92</v>
      </c>
      <c r="Q225" s="2" t="n">
        <v>27.29</v>
      </c>
      <c r="R225" s="2" t="s">
        <v>32</v>
      </c>
      <c r="S225" s="2" t="s">
        <v>33</v>
      </c>
    </row>
    <row r="226" customFormat="false" ht="15" hidden="false" customHeight="false" outlineLevel="0" collapsed="false">
      <c r="A226" s="2" t="s">
        <v>1545</v>
      </c>
      <c r="B226" s="2" t="s">
        <v>1546</v>
      </c>
      <c r="C226" s="2" t="s">
        <v>1547</v>
      </c>
      <c r="D226" s="2" t="s">
        <v>1548</v>
      </c>
      <c r="E226" s="2" t="s">
        <v>1549</v>
      </c>
      <c r="F226" s="2" t="s">
        <v>39</v>
      </c>
      <c r="G226" s="2" t="s">
        <v>1530</v>
      </c>
      <c r="H226" s="2" t="s">
        <v>225</v>
      </c>
      <c r="I226" s="2" t="s">
        <v>42</v>
      </c>
      <c r="J226" s="2" t="s">
        <v>129</v>
      </c>
      <c r="K226" s="2" t="s">
        <v>141</v>
      </c>
      <c r="L226" s="2" t="s">
        <v>864</v>
      </c>
      <c r="M226" s="2" t="s">
        <v>1550</v>
      </c>
      <c r="N226" s="2" t="n">
        <v>11</v>
      </c>
      <c r="O226" s="2" t="n">
        <v>0.15</v>
      </c>
      <c r="P226" s="2" t="n">
        <v>2.29</v>
      </c>
      <c r="Q226" s="2" t="n">
        <v>23.85</v>
      </c>
      <c r="R226" s="2" t="s">
        <v>32</v>
      </c>
      <c r="S226" s="2" t="s">
        <v>73</v>
      </c>
    </row>
    <row r="227" customFormat="false" ht="15" hidden="false" customHeight="false" outlineLevel="0" collapsed="false">
      <c r="A227" s="2" t="s">
        <v>1551</v>
      </c>
      <c r="B227" s="2" t="s">
        <v>1552</v>
      </c>
      <c r="C227" s="2" t="s">
        <v>1553</v>
      </c>
      <c r="D227" s="2" t="s">
        <v>1554</v>
      </c>
      <c r="E227" s="2" t="s">
        <v>1555</v>
      </c>
      <c r="F227" s="2" t="s">
        <v>149</v>
      </c>
      <c r="G227" s="2" t="s">
        <v>314</v>
      </c>
      <c r="H227" s="2" t="s">
        <v>315</v>
      </c>
      <c r="I227" s="2" t="s">
        <v>54</v>
      </c>
      <c r="J227" s="2" t="s">
        <v>82</v>
      </c>
      <c r="K227" s="2" t="s">
        <v>234</v>
      </c>
      <c r="L227" s="2" t="s">
        <v>495</v>
      </c>
      <c r="M227" s="2" t="s">
        <v>1556</v>
      </c>
      <c r="N227" s="2" t="n">
        <v>3</v>
      </c>
      <c r="O227" s="2" t="n">
        <v>0.1</v>
      </c>
      <c r="P227" s="2" t="n">
        <v>514.53</v>
      </c>
      <c r="Q227" s="2" t="n">
        <v>40.85</v>
      </c>
      <c r="R227" s="2" t="s">
        <v>86</v>
      </c>
      <c r="S227" s="2"/>
    </row>
    <row r="228" customFormat="false" ht="15" hidden="false" customHeight="false" outlineLevel="0" collapsed="false">
      <c r="A228" s="2" t="s">
        <v>1557</v>
      </c>
      <c r="B228" s="2" t="s">
        <v>1558</v>
      </c>
      <c r="C228" s="2" t="s">
        <v>1559</v>
      </c>
      <c r="D228" s="2" t="s">
        <v>462</v>
      </c>
      <c r="E228" s="2" t="s">
        <v>463</v>
      </c>
      <c r="F228" s="2" t="s">
        <v>24</v>
      </c>
      <c r="G228" s="2" t="s">
        <v>1400</v>
      </c>
      <c r="H228" s="2" t="s">
        <v>128</v>
      </c>
      <c r="I228" s="2" t="s">
        <v>42</v>
      </c>
      <c r="J228" s="2" t="s">
        <v>93</v>
      </c>
      <c r="K228" s="2" t="s">
        <v>388</v>
      </c>
      <c r="L228" s="2" t="s">
        <v>1186</v>
      </c>
      <c r="M228" s="2" t="s">
        <v>1560</v>
      </c>
      <c r="N228" s="2" t="n">
        <v>9</v>
      </c>
      <c r="O228" s="2" t="n">
        <v>0.2</v>
      </c>
      <c r="P228" s="2" t="n">
        <v>3.51</v>
      </c>
      <c r="Q228" s="2" t="n">
        <v>33.35</v>
      </c>
      <c r="R228" s="2" t="s">
        <v>86</v>
      </c>
      <c r="S228" s="2" t="s">
        <v>33</v>
      </c>
    </row>
    <row r="229" customFormat="false" ht="15" hidden="false" customHeight="false" outlineLevel="0" collapsed="false">
      <c r="A229" s="2" t="s">
        <v>1561</v>
      </c>
      <c r="B229" s="2" t="s">
        <v>1562</v>
      </c>
      <c r="C229" s="2" t="s">
        <v>1563</v>
      </c>
      <c r="D229" s="2" t="s">
        <v>1564</v>
      </c>
      <c r="E229" s="2" t="s">
        <v>1565</v>
      </c>
      <c r="F229" s="2" t="s">
        <v>39</v>
      </c>
      <c r="G229" s="2" t="s">
        <v>1566</v>
      </c>
      <c r="H229" s="2" t="s">
        <v>612</v>
      </c>
      <c r="I229" s="2" t="s">
        <v>106</v>
      </c>
      <c r="J229" s="2" t="s">
        <v>93</v>
      </c>
      <c r="K229" s="2" t="s">
        <v>130</v>
      </c>
      <c r="L229" s="2" t="s">
        <v>522</v>
      </c>
      <c r="M229" s="2" t="s">
        <v>1567</v>
      </c>
      <c r="N229" s="2" t="n">
        <v>9</v>
      </c>
      <c r="O229" s="2" t="n">
        <v>0</v>
      </c>
      <c r="P229" s="2"/>
      <c r="Q229" s="2" t="n">
        <v>35.44</v>
      </c>
      <c r="R229" s="2" t="s">
        <v>162</v>
      </c>
      <c r="S229" s="2" t="s">
        <v>33</v>
      </c>
    </row>
    <row r="230" customFormat="false" ht="15" hidden="false" customHeight="false" outlineLevel="0" collapsed="false">
      <c r="A230" s="2" t="s">
        <v>1568</v>
      </c>
      <c r="B230" s="2" t="s">
        <v>1569</v>
      </c>
      <c r="C230" s="2" t="s">
        <v>1570</v>
      </c>
      <c r="D230" s="2" t="s">
        <v>1571</v>
      </c>
      <c r="E230" s="2" t="s">
        <v>1572</v>
      </c>
      <c r="F230" s="2" t="s">
        <v>79</v>
      </c>
      <c r="G230" s="2" t="s">
        <v>895</v>
      </c>
      <c r="H230" s="2" t="s">
        <v>243</v>
      </c>
      <c r="I230" s="2" t="s">
        <v>54</v>
      </c>
      <c r="J230" s="2" t="s">
        <v>28</v>
      </c>
      <c r="K230" s="2" t="s">
        <v>29</v>
      </c>
      <c r="L230" s="2" t="s">
        <v>30</v>
      </c>
      <c r="M230" s="2" t="s">
        <v>1573</v>
      </c>
      <c r="N230" s="2" t="n">
        <v>12</v>
      </c>
      <c r="O230" s="2" t="n">
        <v>0.15</v>
      </c>
      <c r="P230" s="2" t="n">
        <v>397.59</v>
      </c>
      <c r="Q230" s="2" t="n">
        <v>26.01</v>
      </c>
      <c r="R230" s="2" t="s">
        <v>133</v>
      </c>
      <c r="S230" s="2" t="s">
        <v>33</v>
      </c>
    </row>
    <row r="231" customFormat="false" ht="15" hidden="false" customHeight="false" outlineLevel="0" collapsed="false">
      <c r="A231" s="2" t="s">
        <v>1574</v>
      </c>
      <c r="B231" s="2" t="s">
        <v>1575</v>
      </c>
      <c r="C231" s="2" t="s">
        <v>547</v>
      </c>
      <c r="D231" s="2" t="s">
        <v>1576</v>
      </c>
      <c r="E231" s="2" t="s">
        <v>1577</v>
      </c>
      <c r="F231" s="2" t="s">
        <v>66</v>
      </c>
      <c r="G231" s="2" t="s">
        <v>104</v>
      </c>
      <c r="H231" s="2" t="s">
        <v>105</v>
      </c>
      <c r="I231" s="2" t="s">
        <v>106</v>
      </c>
      <c r="J231" s="2" t="s">
        <v>82</v>
      </c>
      <c r="K231" s="2" t="s">
        <v>118</v>
      </c>
      <c r="L231" s="2" t="s">
        <v>119</v>
      </c>
      <c r="M231" s="2" t="s">
        <v>1578</v>
      </c>
      <c r="N231" s="2" t="n">
        <v>1</v>
      </c>
      <c r="O231" s="2" t="n">
        <v>0.2</v>
      </c>
      <c r="P231" s="2" t="n">
        <v>17.18</v>
      </c>
      <c r="Q231" s="2" t="n">
        <v>10.8</v>
      </c>
      <c r="R231" s="2" t="s">
        <v>440</v>
      </c>
      <c r="S231" s="2" t="s">
        <v>60</v>
      </c>
    </row>
    <row r="232" customFormat="false" ht="15" hidden="false" customHeight="false" outlineLevel="0" collapsed="false">
      <c r="A232" s="2" t="s">
        <v>1579</v>
      </c>
      <c r="B232" s="2" t="s">
        <v>1427</v>
      </c>
      <c r="C232" s="2" t="s">
        <v>1580</v>
      </c>
      <c r="D232" s="2" t="s">
        <v>1581</v>
      </c>
      <c r="E232" s="2" t="s">
        <v>1582</v>
      </c>
      <c r="F232" s="2" t="s">
        <v>39</v>
      </c>
      <c r="G232" s="2" t="s">
        <v>494</v>
      </c>
      <c r="H232" s="2" t="s">
        <v>117</v>
      </c>
      <c r="I232" s="2" t="s">
        <v>27</v>
      </c>
      <c r="J232" s="2" t="s">
        <v>55</v>
      </c>
      <c r="K232" s="2" t="s">
        <v>56</v>
      </c>
      <c r="L232" s="2" t="s">
        <v>57</v>
      </c>
      <c r="M232" s="2" t="s">
        <v>1583</v>
      </c>
      <c r="N232" s="2" t="n">
        <v>8</v>
      </c>
      <c r="O232" s="2" t="n">
        <v>0</v>
      </c>
      <c r="P232" s="2" t="n">
        <v>663.28</v>
      </c>
      <c r="Q232" s="2" t="n">
        <v>50.81</v>
      </c>
      <c r="R232" s="2" t="s">
        <v>32</v>
      </c>
      <c r="S232" s="2" t="s">
        <v>110</v>
      </c>
    </row>
    <row r="233" customFormat="false" ht="15" hidden="false" customHeight="false" outlineLevel="0" collapsed="false">
      <c r="A233" s="2" t="s">
        <v>1584</v>
      </c>
      <c r="B233" s="2" t="s">
        <v>1285</v>
      </c>
      <c r="C233" s="2" t="s">
        <v>1585</v>
      </c>
      <c r="D233" s="2" t="s">
        <v>1586</v>
      </c>
      <c r="E233" s="2" t="s">
        <v>1587</v>
      </c>
      <c r="F233" s="2" t="s">
        <v>179</v>
      </c>
      <c r="G233" s="2" t="s">
        <v>1180</v>
      </c>
      <c r="H233" s="2" t="s">
        <v>480</v>
      </c>
      <c r="I233" s="2" t="s">
        <v>54</v>
      </c>
      <c r="J233" s="2" t="s">
        <v>343</v>
      </c>
      <c r="K233" s="2" t="s">
        <v>83</v>
      </c>
      <c r="L233" s="2" t="s">
        <v>569</v>
      </c>
      <c r="M233" s="2" t="s">
        <v>1588</v>
      </c>
      <c r="N233" s="2" t="n">
        <v>4</v>
      </c>
      <c r="O233" s="2" t="n">
        <v>0</v>
      </c>
      <c r="P233" s="2" t="n">
        <v>737.72</v>
      </c>
      <c r="Q233" s="2" t="n">
        <v>50.18</v>
      </c>
      <c r="R233" s="2" t="s">
        <v>47</v>
      </c>
      <c r="S233" s="2" t="s">
        <v>33</v>
      </c>
    </row>
    <row r="234" customFormat="false" ht="15" hidden="false" customHeight="false" outlineLevel="0" collapsed="false">
      <c r="A234" s="2" t="s">
        <v>1589</v>
      </c>
      <c r="B234" s="2" t="s">
        <v>1257</v>
      </c>
      <c r="C234" s="2" t="s">
        <v>1590</v>
      </c>
      <c r="D234" s="2" t="s">
        <v>1591</v>
      </c>
      <c r="E234" s="2" t="s">
        <v>1592</v>
      </c>
      <c r="F234" s="2" t="s">
        <v>24</v>
      </c>
      <c r="G234" s="2" t="s">
        <v>472</v>
      </c>
      <c r="H234" s="2" t="s">
        <v>68</v>
      </c>
      <c r="I234" s="2" t="s">
        <v>42</v>
      </c>
      <c r="J234" s="2" t="s">
        <v>188</v>
      </c>
      <c r="K234" s="2" t="s">
        <v>277</v>
      </c>
      <c r="L234" s="2" t="s">
        <v>278</v>
      </c>
      <c r="M234" s="2" t="s">
        <v>1593</v>
      </c>
      <c r="N234" s="2" t="n">
        <v>6</v>
      </c>
      <c r="O234" s="2" t="n">
        <v>0.4</v>
      </c>
      <c r="P234" s="2" t="n">
        <v>-174.68</v>
      </c>
      <c r="Q234" s="2" t="n">
        <v>17</v>
      </c>
      <c r="R234" s="2" t="s">
        <v>440</v>
      </c>
      <c r="S234" s="2" t="s">
        <v>60</v>
      </c>
    </row>
    <row r="235" customFormat="false" ht="15" hidden="false" customHeight="false" outlineLevel="0" collapsed="false">
      <c r="A235" s="2" t="s">
        <v>1594</v>
      </c>
      <c r="B235" s="2" t="s">
        <v>1595</v>
      </c>
      <c r="C235" s="2" t="s">
        <v>1596</v>
      </c>
      <c r="D235" s="2" t="s">
        <v>1597</v>
      </c>
      <c r="E235" s="2" t="s">
        <v>1598</v>
      </c>
      <c r="F235" s="2" t="s">
        <v>66</v>
      </c>
      <c r="G235" s="2" t="s">
        <v>1599</v>
      </c>
      <c r="H235" s="2" t="s">
        <v>612</v>
      </c>
      <c r="I235" s="2" t="s">
        <v>106</v>
      </c>
      <c r="J235" s="2" t="s">
        <v>82</v>
      </c>
      <c r="K235" s="2" t="s">
        <v>118</v>
      </c>
      <c r="L235" s="2" t="s">
        <v>260</v>
      </c>
      <c r="M235" s="2" t="s">
        <v>1600</v>
      </c>
      <c r="N235" s="2" t="n">
        <v>8</v>
      </c>
      <c r="O235" s="2" t="n">
        <v>0.1</v>
      </c>
      <c r="P235" s="2" t="n">
        <v>600.34</v>
      </c>
      <c r="Q235" s="2" t="n">
        <v>2.36</v>
      </c>
      <c r="R235" s="2" t="s">
        <v>121</v>
      </c>
      <c r="S235" s="2" t="s">
        <v>60</v>
      </c>
    </row>
    <row r="236" customFormat="false" ht="15" hidden="false" customHeight="false" outlineLevel="0" collapsed="false">
      <c r="A236" s="2" t="s">
        <v>1601</v>
      </c>
      <c r="B236" s="2" t="s">
        <v>1602</v>
      </c>
      <c r="C236" s="2" t="s">
        <v>1603</v>
      </c>
      <c r="D236" s="2" t="s">
        <v>1535</v>
      </c>
      <c r="E236" s="2" t="s">
        <v>1536</v>
      </c>
      <c r="F236" s="2" t="s">
        <v>196</v>
      </c>
      <c r="G236" s="2" t="s">
        <v>850</v>
      </c>
      <c r="H236" s="2" t="s">
        <v>128</v>
      </c>
      <c r="I236" s="2" t="s">
        <v>42</v>
      </c>
      <c r="J236" s="2" t="s">
        <v>82</v>
      </c>
      <c r="K236" s="2" t="s">
        <v>29</v>
      </c>
      <c r="L236" s="2" t="s">
        <v>374</v>
      </c>
      <c r="M236" s="2" t="s">
        <v>1604</v>
      </c>
      <c r="N236" s="2" t="n">
        <v>10</v>
      </c>
      <c r="O236" s="2" t="n">
        <v>0.4</v>
      </c>
      <c r="P236" s="2" t="n">
        <v>-1111.2</v>
      </c>
      <c r="Q236" s="2" t="n">
        <v>46.04</v>
      </c>
      <c r="R236" s="2" t="s">
        <v>86</v>
      </c>
      <c r="S236" s="2" t="s">
        <v>33</v>
      </c>
    </row>
    <row r="237" customFormat="false" ht="15" hidden="false" customHeight="false" outlineLevel="0" collapsed="false">
      <c r="A237" s="2" t="s">
        <v>1605</v>
      </c>
      <c r="B237" s="2" t="s">
        <v>950</v>
      </c>
      <c r="C237" s="2" t="s">
        <v>1385</v>
      </c>
      <c r="D237" s="2" t="s">
        <v>1606</v>
      </c>
      <c r="E237" s="2" t="s">
        <v>1607</v>
      </c>
      <c r="F237" s="2" t="s">
        <v>39</v>
      </c>
      <c r="G237" s="2" t="s">
        <v>998</v>
      </c>
      <c r="H237" s="2" t="s">
        <v>41</v>
      </c>
      <c r="I237" s="2" t="s">
        <v>42</v>
      </c>
      <c r="J237" s="2" t="s">
        <v>55</v>
      </c>
      <c r="K237" s="2" t="s">
        <v>277</v>
      </c>
      <c r="L237" s="2" t="s">
        <v>278</v>
      </c>
      <c r="M237" s="2" t="s">
        <v>1608</v>
      </c>
      <c r="N237" s="2" t="n">
        <v>7</v>
      </c>
      <c r="O237" s="2" t="n">
        <v>0</v>
      </c>
      <c r="P237" s="2" t="n">
        <v>251.71</v>
      </c>
      <c r="Q237" s="2" t="n">
        <v>29.72</v>
      </c>
      <c r="R237" s="2" t="s">
        <v>440</v>
      </c>
      <c r="S237" s="2" t="s">
        <v>33</v>
      </c>
    </row>
    <row r="238" customFormat="false" ht="15" hidden="false" customHeight="false" outlineLevel="0" collapsed="false">
      <c r="A238" s="2" t="s">
        <v>1609</v>
      </c>
      <c r="B238" s="2" t="s">
        <v>1610</v>
      </c>
      <c r="C238" s="2" t="s">
        <v>1611</v>
      </c>
      <c r="D238" s="2" t="s">
        <v>1612</v>
      </c>
      <c r="E238" s="2" t="s">
        <v>1613</v>
      </c>
      <c r="F238" s="2" t="s">
        <v>66</v>
      </c>
      <c r="G238" s="2" t="s">
        <v>1423</v>
      </c>
      <c r="H238" s="2" t="s">
        <v>612</v>
      </c>
      <c r="I238" s="2" t="s">
        <v>106</v>
      </c>
      <c r="J238" s="2" t="s">
        <v>55</v>
      </c>
      <c r="K238" s="2" t="s">
        <v>56</v>
      </c>
      <c r="L238" s="2" t="s">
        <v>536</v>
      </c>
      <c r="M238" s="2" t="s">
        <v>1614</v>
      </c>
      <c r="N238" s="2" t="n">
        <v>10</v>
      </c>
      <c r="O238" s="2" t="n">
        <v>0.3</v>
      </c>
      <c r="P238" s="2" t="n">
        <v>-420.19</v>
      </c>
      <c r="Q238" s="2" t="n">
        <v>5.67</v>
      </c>
      <c r="R238" s="2" t="s">
        <v>72</v>
      </c>
      <c r="S238" s="2" t="s">
        <v>60</v>
      </c>
    </row>
    <row r="239" customFormat="false" ht="15" hidden="false" customHeight="false" outlineLevel="0" collapsed="false">
      <c r="A239" s="2" t="s">
        <v>1615</v>
      </c>
      <c r="B239" s="2" t="s">
        <v>1616</v>
      </c>
      <c r="C239" s="2" t="s">
        <v>1617</v>
      </c>
      <c r="D239" s="2" t="s">
        <v>1618</v>
      </c>
      <c r="E239" s="2" t="s">
        <v>1619</v>
      </c>
      <c r="F239" s="2" t="s">
        <v>39</v>
      </c>
      <c r="G239" s="2" t="s">
        <v>1620</v>
      </c>
      <c r="H239" s="2" t="s">
        <v>373</v>
      </c>
      <c r="I239" s="2" t="s">
        <v>27</v>
      </c>
      <c r="J239" s="2" t="s">
        <v>55</v>
      </c>
      <c r="K239" s="2" t="s">
        <v>56</v>
      </c>
      <c r="L239" s="2" t="s">
        <v>536</v>
      </c>
      <c r="M239" s="2" t="s">
        <v>1621</v>
      </c>
      <c r="N239" s="2" t="n">
        <v>11</v>
      </c>
      <c r="O239" s="2" t="n">
        <v>0</v>
      </c>
      <c r="P239" s="2" t="n">
        <v>1577.84</v>
      </c>
      <c r="Q239" s="2" t="n">
        <v>21.49</v>
      </c>
      <c r="R239" s="2" t="s">
        <v>324</v>
      </c>
      <c r="S239" s="2" t="s">
        <v>33</v>
      </c>
    </row>
    <row r="240" customFormat="false" ht="15" hidden="false" customHeight="false" outlineLevel="0" collapsed="false">
      <c r="A240" s="2" t="s">
        <v>1622</v>
      </c>
      <c r="B240" s="2" t="s">
        <v>1623</v>
      </c>
      <c r="C240" s="2" t="s">
        <v>1624</v>
      </c>
      <c r="D240" s="2" t="s">
        <v>1625</v>
      </c>
      <c r="E240" s="2" t="s">
        <v>1626</v>
      </c>
      <c r="F240" s="2" t="s">
        <v>782</v>
      </c>
      <c r="G240" s="2" t="s">
        <v>1627</v>
      </c>
      <c r="H240" s="2" t="s">
        <v>286</v>
      </c>
      <c r="I240" s="2" t="s">
        <v>54</v>
      </c>
      <c r="J240" s="2" t="s">
        <v>82</v>
      </c>
      <c r="K240" s="2" t="s">
        <v>234</v>
      </c>
      <c r="L240" s="2" t="s">
        <v>495</v>
      </c>
      <c r="M240" s="2" t="s">
        <v>1628</v>
      </c>
      <c r="N240" s="2" t="n">
        <v>6</v>
      </c>
      <c r="O240" s="2" t="n">
        <v>0.4</v>
      </c>
      <c r="P240" s="2" t="n">
        <v>-37.26</v>
      </c>
      <c r="Q240" s="2" t="n">
        <v>42.41</v>
      </c>
      <c r="R240" s="2" t="s">
        <v>32</v>
      </c>
      <c r="S240" s="2" t="s">
        <v>33</v>
      </c>
    </row>
    <row r="241" customFormat="false" ht="15" hidden="false" customHeight="false" outlineLevel="0" collapsed="false">
      <c r="A241" s="2" t="s">
        <v>1629</v>
      </c>
      <c r="B241" s="2" t="s">
        <v>1630</v>
      </c>
      <c r="C241" s="2" t="s">
        <v>1631</v>
      </c>
      <c r="D241" s="2" t="s">
        <v>1632</v>
      </c>
      <c r="E241" s="2"/>
      <c r="F241" s="2" t="s">
        <v>1412</v>
      </c>
      <c r="G241" s="2" t="s">
        <v>683</v>
      </c>
      <c r="H241" s="2" t="s">
        <v>612</v>
      </c>
      <c r="I241" s="2" t="s">
        <v>106</v>
      </c>
      <c r="J241" s="2" t="s">
        <v>129</v>
      </c>
      <c r="K241" s="2" t="s">
        <v>199</v>
      </c>
      <c r="L241" s="2" t="s">
        <v>789</v>
      </c>
      <c r="M241" s="2" t="s">
        <v>1633</v>
      </c>
      <c r="N241" s="2" t="n">
        <v>10</v>
      </c>
      <c r="O241" s="2" t="n">
        <v>0.2</v>
      </c>
      <c r="P241" s="2" t="n">
        <v>23.39</v>
      </c>
      <c r="Q241" s="2" t="n">
        <v>26.81</v>
      </c>
      <c r="R241" s="2" t="s">
        <v>72</v>
      </c>
      <c r="S241" s="2" t="s">
        <v>110</v>
      </c>
    </row>
    <row r="242" customFormat="false" ht="15" hidden="false" customHeight="false" outlineLevel="0" collapsed="false">
      <c r="A242" s="2" t="s">
        <v>1634</v>
      </c>
      <c r="B242" s="2" t="s">
        <v>1635</v>
      </c>
      <c r="C242" s="2" t="s">
        <v>1519</v>
      </c>
      <c r="D242" s="2" t="s">
        <v>1636</v>
      </c>
      <c r="E242" s="2" t="s">
        <v>1637</v>
      </c>
      <c r="F242" s="2" t="s">
        <v>149</v>
      </c>
      <c r="G242" s="2" t="s">
        <v>322</v>
      </c>
      <c r="H242" s="2" t="s">
        <v>117</v>
      </c>
      <c r="I242" s="2" t="s">
        <v>27</v>
      </c>
      <c r="J242" s="2" t="s">
        <v>93</v>
      </c>
      <c r="K242" s="2" t="s">
        <v>130</v>
      </c>
      <c r="L242" s="2" t="s">
        <v>131</v>
      </c>
      <c r="M242" s="2" t="s">
        <v>1638</v>
      </c>
      <c r="N242" s="2" t="n">
        <v>7</v>
      </c>
      <c r="O242" s="2" t="n">
        <v>0.4</v>
      </c>
      <c r="P242" s="2" t="n">
        <v>-23.87</v>
      </c>
      <c r="Q242" s="2" t="n">
        <v>30.91</v>
      </c>
      <c r="R242" s="2" t="s">
        <v>324</v>
      </c>
      <c r="S242" s="2" t="s">
        <v>60</v>
      </c>
    </row>
    <row r="243" customFormat="false" ht="15" hidden="false" customHeight="false" outlineLevel="0" collapsed="false">
      <c r="A243" s="2" t="s">
        <v>1639</v>
      </c>
      <c r="B243" s="2" t="s">
        <v>1640</v>
      </c>
      <c r="C243" s="2" t="s">
        <v>1641</v>
      </c>
      <c r="D243" s="2" t="s">
        <v>1642</v>
      </c>
      <c r="E243" s="2" t="s">
        <v>1643</v>
      </c>
      <c r="F243" s="2" t="s">
        <v>39</v>
      </c>
      <c r="G243" s="2" t="s">
        <v>1644</v>
      </c>
      <c r="H243" s="2" t="s">
        <v>169</v>
      </c>
      <c r="I243" s="2" t="s">
        <v>106</v>
      </c>
      <c r="J243" s="2" t="s">
        <v>55</v>
      </c>
      <c r="K243" s="2" t="s">
        <v>56</v>
      </c>
      <c r="L243" s="2" t="s">
        <v>307</v>
      </c>
      <c r="M243" s="2" t="s">
        <v>1645</v>
      </c>
      <c r="N243" s="2" t="n">
        <v>11</v>
      </c>
      <c r="O243" s="2" t="n">
        <v>0</v>
      </c>
      <c r="P243" s="2" t="n">
        <v>1169.51</v>
      </c>
      <c r="Q243" s="2" t="n">
        <v>39.77</v>
      </c>
      <c r="R243" s="2" t="s">
        <v>324</v>
      </c>
      <c r="S243" s="2" t="s">
        <v>60</v>
      </c>
    </row>
    <row r="244" customFormat="false" ht="15" hidden="false" customHeight="false" outlineLevel="0" collapsed="false">
      <c r="A244" s="2" t="s">
        <v>1646</v>
      </c>
      <c r="B244" s="2" t="s">
        <v>1647</v>
      </c>
      <c r="C244" s="2" t="s">
        <v>1648</v>
      </c>
      <c r="D244" s="2" t="s">
        <v>1649</v>
      </c>
      <c r="E244" s="2" t="s">
        <v>1650</v>
      </c>
      <c r="F244" s="2" t="s">
        <v>149</v>
      </c>
      <c r="G244" s="2" t="s">
        <v>25</v>
      </c>
      <c r="H244" s="2" t="s">
        <v>26</v>
      </c>
      <c r="I244" s="2" t="s">
        <v>27</v>
      </c>
      <c r="J244" s="2" t="s">
        <v>217</v>
      </c>
      <c r="K244" s="2" t="s">
        <v>94</v>
      </c>
      <c r="L244" s="2" t="s">
        <v>152</v>
      </c>
      <c r="M244" s="2" t="s">
        <v>1651</v>
      </c>
      <c r="N244" s="2" t="n">
        <v>4</v>
      </c>
      <c r="O244" s="2" t="n">
        <v>0.3</v>
      </c>
      <c r="P244" s="2" t="n">
        <v>-10.91</v>
      </c>
      <c r="Q244" s="2" t="n">
        <v>30.5</v>
      </c>
      <c r="R244" s="2" t="s">
        <v>133</v>
      </c>
      <c r="S244" s="2" t="s">
        <v>60</v>
      </c>
    </row>
    <row r="245" customFormat="false" ht="15" hidden="false" customHeight="false" outlineLevel="0" collapsed="false">
      <c r="A245" s="2" t="s">
        <v>1652</v>
      </c>
      <c r="B245" s="2" t="s">
        <v>401</v>
      </c>
      <c r="C245" s="2" t="s">
        <v>1294</v>
      </c>
      <c r="D245" s="2" t="s">
        <v>1207</v>
      </c>
      <c r="E245" s="2" t="s">
        <v>1208</v>
      </c>
      <c r="F245" s="2" t="s">
        <v>66</v>
      </c>
      <c r="G245" s="2" t="s">
        <v>438</v>
      </c>
      <c r="H245" s="2" t="s">
        <v>286</v>
      </c>
      <c r="I245" s="2" t="s">
        <v>54</v>
      </c>
      <c r="J245" s="2" t="s">
        <v>93</v>
      </c>
      <c r="K245" s="2" t="s">
        <v>388</v>
      </c>
      <c r="L245" s="2" t="s">
        <v>389</v>
      </c>
      <c r="M245" s="2" t="s">
        <v>1653</v>
      </c>
      <c r="N245" s="2" t="n">
        <v>12</v>
      </c>
      <c r="O245" s="2" t="n">
        <v>0.2</v>
      </c>
      <c r="P245" s="2" t="n">
        <v>69.49</v>
      </c>
      <c r="Q245" s="2" t="n">
        <v>56.47</v>
      </c>
      <c r="R245" s="2" t="s">
        <v>190</v>
      </c>
      <c r="S245" s="2" t="s">
        <v>33</v>
      </c>
    </row>
    <row r="246" customFormat="false" ht="15" hidden="false" customHeight="false" outlineLevel="0" collapsed="false">
      <c r="A246" s="2" t="s">
        <v>1654</v>
      </c>
      <c r="B246" s="2" t="s">
        <v>1655</v>
      </c>
      <c r="C246" s="2" t="s">
        <v>1656</v>
      </c>
      <c r="D246" s="2" t="s">
        <v>1657</v>
      </c>
      <c r="E246" s="2" t="s">
        <v>1658</v>
      </c>
      <c r="F246" s="2" t="s">
        <v>24</v>
      </c>
      <c r="G246" s="2" t="s">
        <v>1352</v>
      </c>
      <c r="H246" s="2" t="s">
        <v>198</v>
      </c>
      <c r="I246" s="2" t="s">
        <v>106</v>
      </c>
      <c r="J246" s="2" t="s">
        <v>82</v>
      </c>
      <c r="K246" s="2" t="s">
        <v>29</v>
      </c>
      <c r="L246" s="2" t="s">
        <v>30</v>
      </c>
      <c r="M246" s="2" t="s">
        <v>1659</v>
      </c>
      <c r="N246" s="2" t="n">
        <v>3</v>
      </c>
      <c r="O246" s="2" t="n">
        <v>0.3</v>
      </c>
      <c r="P246" s="2" t="n">
        <v>98.56</v>
      </c>
      <c r="Q246" s="2" t="n">
        <v>15.96</v>
      </c>
      <c r="R246" s="2" t="s">
        <v>59</v>
      </c>
      <c r="S246" s="2" t="s">
        <v>110</v>
      </c>
    </row>
    <row r="247" customFormat="false" ht="15" hidden="false" customHeight="false" outlineLevel="0" collapsed="false">
      <c r="A247" s="2" t="s">
        <v>1660</v>
      </c>
      <c r="B247" s="2" t="s">
        <v>1661</v>
      </c>
      <c r="C247" s="2" t="s">
        <v>1662</v>
      </c>
      <c r="D247" s="2" t="s">
        <v>1663</v>
      </c>
      <c r="E247" s="2" t="s">
        <v>1664</v>
      </c>
      <c r="F247" s="2" t="s">
        <v>782</v>
      </c>
      <c r="G247" s="2" t="s">
        <v>595</v>
      </c>
      <c r="H247" s="2" t="s">
        <v>140</v>
      </c>
      <c r="I247" s="2" t="s">
        <v>54</v>
      </c>
      <c r="J247" s="2" t="s">
        <v>55</v>
      </c>
      <c r="K247" s="2" t="s">
        <v>56</v>
      </c>
      <c r="L247" s="2" t="s">
        <v>307</v>
      </c>
      <c r="M247" s="2" t="s">
        <v>1665</v>
      </c>
      <c r="N247" s="2" t="n">
        <v>10</v>
      </c>
      <c r="O247" s="2" t="n">
        <v>0.4</v>
      </c>
      <c r="P247" s="2" t="n">
        <v>-47.3</v>
      </c>
      <c r="Q247" s="2" t="n">
        <v>47.82</v>
      </c>
      <c r="R247" s="2" t="s">
        <v>72</v>
      </c>
      <c r="S247" s="2" t="s">
        <v>60</v>
      </c>
    </row>
    <row r="248" customFormat="false" ht="15" hidden="false" customHeight="false" outlineLevel="0" collapsed="false">
      <c r="A248" s="2" t="s">
        <v>1666</v>
      </c>
      <c r="B248" s="2" t="s">
        <v>1667</v>
      </c>
      <c r="C248" s="2" t="s">
        <v>1668</v>
      </c>
      <c r="D248" s="2" t="s">
        <v>1669</v>
      </c>
      <c r="E248" s="2" t="s">
        <v>1670</v>
      </c>
      <c r="F248" s="2" t="s">
        <v>66</v>
      </c>
      <c r="G248" s="2" t="s">
        <v>1671</v>
      </c>
      <c r="H248" s="2" t="s">
        <v>209</v>
      </c>
      <c r="I248" s="2" t="s">
        <v>27</v>
      </c>
      <c r="J248" s="2" t="s">
        <v>43</v>
      </c>
      <c r="K248" s="2" t="s">
        <v>44</v>
      </c>
      <c r="L248" s="2" t="s">
        <v>596</v>
      </c>
      <c r="M248" s="2" t="s">
        <v>1672</v>
      </c>
      <c r="N248" s="2" t="n">
        <v>7</v>
      </c>
      <c r="O248" s="2" t="n">
        <v>0.3</v>
      </c>
      <c r="P248" s="2" t="n">
        <v>32.62</v>
      </c>
      <c r="Q248" s="2" t="n">
        <v>20.99</v>
      </c>
      <c r="R248" s="2" t="s">
        <v>697</v>
      </c>
      <c r="S248" s="2" t="s">
        <v>110</v>
      </c>
    </row>
    <row r="249" customFormat="false" ht="15" hidden="false" customHeight="false" outlineLevel="0" collapsed="false">
      <c r="A249" s="2" t="s">
        <v>1673</v>
      </c>
      <c r="B249" s="2" t="s">
        <v>1674</v>
      </c>
      <c r="C249" s="2" t="s">
        <v>1675</v>
      </c>
      <c r="D249" s="2" t="s">
        <v>1676</v>
      </c>
      <c r="E249" s="2" t="s">
        <v>1677</v>
      </c>
      <c r="F249" s="2" t="s">
        <v>66</v>
      </c>
      <c r="G249" s="2" t="s">
        <v>1678</v>
      </c>
      <c r="H249" s="2" t="s">
        <v>225</v>
      </c>
      <c r="I249" s="2" t="s">
        <v>42</v>
      </c>
      <c r="J249" s="2" t="s">
        <v>82</v>
      </c>
      <c r="K249" s="2" t="s">
        <v>29</v>
      </c>
      <c r="L249" s="2" t="s">
        <v>374</v>
      </c>
      <c r="M249" s="2" t="s">
        <v>1679</v>
      </c>
      <c r="N249" s="2" t="n">
        <v>10</v>
      </c>
      <c r="O249" s="2" t="n">
        <v>0.1</v>
      </c>
      <c r="P249" s="2" t="n">
        <v>1203.83</v>
      </c>
      <c r="Q249" s="2" t="n">
        <v>23.67</v>
      </c>
      <c r="R249" s="2" t="s">
        <v>32</v>
      </c>
      <c r="S249" s="2" t="s">
        <v>33</v>
      </c>
    </row>
    <row r="250" customFormat="false" ht="15" hidden="false" customHeight="false" outlineLevel="0" collapsed="false">
      <c r="A250" s="2" t="s">
        <v>1680</v>
      </c>
      <c r="B250" s="2" t="s">
        <v>1681</v>
      </c>
      <c r="C250" s="2" t="s">
        <v>1682</v>
      </c>
      <c r="D250" s="2" t="s">
        <v>340</v>
      </c>
      <c r="E250" s="2" t="s">
        <v>341</v>
      </c>
      <c r="F250" s="2" t="s">
        <v>79</v>
      </c>
      <c r="G250" s="2" t="s">
        <v>1683</v>
      </c>
      <c r="H250" s="2" t="s">
        <v>41</v>
      </c>
      <c r="I250" s="2" t="s">
        <v>42</v>
      </c>
      <c r="J250" s="2" t="s">
        <v>82</v>
      </c>
      <c r="K250" s="2" t="s">
        <v>29</v>
      </c>
      <c r="L250" s="2" t="s">
        <v>374</v>
      </c>
      <c r="M250" s="2" t="s">
        <v>1684</v>
      </c>
      <c r="N250" s="2" t="n">
        <v>4</v>
      </c>
      <c r="O250" s="2" t="n">
        <v>0.4</v>
      </c>
      <c r="P250" s="2" t="n">
        <v>-9.48</v>
      </c>
      <c r="Q250" s="2" t="n">
        <v>52.76</v>
      </c>
      <c r="R250" s="2" t="s">
        <v>162</v>
      </c>
      <c r="S250" s="2" t="s">
        <v>73</v>
      </c>
    </row>
    <row r="251" customFormat="false" ht="15" hidden="false" customHeight="false" outlineLevel="0" collapsed="false">
      <c r="A251" s="2" t="s">
        <v>1685</v>
      </c>
      <c r="B251" s="2" t="s">
        <v>1686</v>
      </c>
      <c r="C251" s="2" t="s">
        <v>1687</v>
      </c>
      <c r="D251" s="2" t="s">
        <v>609</v>
      </c>
      <c r="E251" s="2" t="s">
        <v>610</v>
      </c>
      <c r="F251" s="2" t="s">
        <v>24</v>
      </c>
      <c r="G251" s="2" t="s">
        <v>1688</v>
      </c>
      <c r="H251" s="2" t="s">
        <v>315</v>
      </c>
      <c r="I251" s="2" t="s">
        <v>54</v>
      </c>
      <c r="J251" s="2" t="s">
        <v>93</v>
      </c>
      <c r="K251" s="2" t="s">
        <v>94</v>
      </c>
      <c r="L251" s="2" t="s">
        <v>210</v>
      </c>
      <c r="M251" s="2" t="s">
        <v>1689</v>
      </c>
      <c r="N251" s="2" t="n">
        <v>3</v>
      </c>
      <c r="O251" s="2" t="n">
        <v>0.15</v>
      </c>
      <c r="P251" s="2" t="n">
        <v>13.08</v>
      </c>
      <c r="Q251" s="2" t="n">
        <v>59.53</v>
      </c>
      <c r="R251" s="2" t="s">
        <v>72</v>
      </c>
      <c r="S251" s="2" t="s">
        <v>73</v>
      </c>
    </row>
    <row r="252" customFormat="false" ht="15" hidden="false" customHeight="false" outlineLevel="0" collapsed="false">
      <c r="A252" s="2" t="s">
        <v>1690</v>
      </c>
      <c r="B252" s="2" t="s">
        <v>1691</v>
      </c>
      <c r="C252" s="2" t="s">
        <v>1692</v>
      </c>
      <c r="D252" s="2" t="s">
        <v>1693</v>
      </c>
      <c r="E252" s="2" t="s">
        <v>1694</v>
      </c>
      <c r="F252" s="2" t="s">
        <v>39</v>
      </c>
      <c r="G252" s="2" t="s">
        <v>895</v>
      </c>
      <c r="H252" s="2" t="s">
        <v>243</v>
      </c>
      <c r="I252" s="2" t="s">
        <v>54</v>
      </c>
      <c r="J252" s="2" t="s">
        <v>244</v>
      </c>
      <c r="K252" s="2" t="s">
        <v>44</v>
      </c>
      <c r="L252" s="2" t="s">
        <v>45</v>
      </c>
      <c r="M252" s="2" t="s">
        <v>1695</v>
      </c>
      <c r="N252" s="2" t="n">
        <v>10</v>
      </c>
      <c r="O252" s="2" t="n">
        <v>0</v>
      </c>
      <c r="P252" s="2" t="n">
        <v>51.6</v>
      </c>
      <c r="Q252" s="2" t="n">
        <v>35.31</v>
      </c>
      <c r="R252" s="2" t="s">
        <v>32</v>
      </c>
      <c r="S252" s="2" t="s">
        <v>73</v>
      </c>
    </row>
    <row r="253" customFormat="false" ht="15" hidden="false" customHeight="false" outlineLevel="0" collapsed="false">
      <c r="A253" s="2" t="s">
        <v>1696</v>
      </c>
      <c r="B253" s="2" t="s">
        <v>918</v>
      </c>
      <c r="C253" s="2" t="s">
        <v>1697</v>
      </c>
      <c r="D253" s="2" t="s">
        <v>1698</v>
      </c>
      <c r="E253" s="2" t="s">
        <v>1699</v>
      </c>
      <c r="F253" s="2" t="s">
        <v>39</v>
      </c>
      <c r="G253" s="2" t="s">
        <v>314</v>
      </c>
      <c r="H253" s="2" t="s">
        <v>315</v>
      </c>
      <c r="I253" s="2" t="s">
        <v>54</v>
      </c>
      <c r="J253" s="2" t="s">
        <v>244</v>
      </c>
      <c r="K253" s="2" t="s">
        <v>69</v>
      </c>
      <c r="L253" s="2" t="s">
        <v>70</v>
      </c>
      <c r="M253" s="2" t="s">
        <v>1700</v>
      </c>
      <c r="N253" s="2" t="n">
        <v>4</v>
      </c>
      <c r="O253" s="2" t="n">
        <v>0.1</v>
      </c>
      <c r="P253" s="2" t="n">
        <v>412.1</v>
      </c>
      <c r="Q253" s="2" t="n">
        <v>29.72</v>
      </c>
      <c r="R253" s="2" t="s">
        <v>109</v>
      </c>
      <c r="S253" s="2"/>
    </row>
    <row r="254" customFormat="false" ht="15" hidden="false" customHeight="false" outlineLevel="0" collapsed="false">
      <c r="A254" s="2" t="s">
        <v>1701</v>
      </c>
      <c r="B254" s="2" t="s">
        <v>1702</v>
      </c>
      <c r="C254" s="2" t="s">
        <v>1703</v>
      </c>
      <c r="D254" s="2" t="s">
        <v>1704</v>
      </c>
      <c r="E254" s="2" t="s">
        <v>1705</v>
      </c>
      <c r="F254" s="2" t="s">
        <v>66</v>
      </c>
      <c r="G254" s="2" t="s">
        <v>1706</v>
      </c>
      <c r="H254" s="2" t="s">
        <v>243</v>
      </c>
      <c r="I254" s="2" t="s">
        <v>54</v>
      </c>
      <c r="J254" s="2" t="s">
        <v>93</v>
      </c>
      <c r="K254" s="2" t="s">
        <v>94</v>
      </c>
      <c r="L254" s="2" t="s">
        <v>95</v>
      </c>
      <c r="M254" s="2" t="s">
        <v>1707</v>
      </c>
      <c r="N254" s="2" t="n">
        <v>1</v>
      </c>
      <c r="O254" s="2" t="n">
        <v>0</v>
      </c>
      <c r="P254" s="2" t="n">
        <v>1.99</v>
      </c>
      <c r="Q254" s="2" t="n">
        <v>15.7</v>
      </c>
      <c r="R254" s="2" t="s">
        <v>202</v>
      </c>
      <c r="S254" s="2" t="s">
        <v>73</v>
      </c>
    </row>
    <row r="255" customFormat="false" ht="15" hidden="false" customHeight="false" outlineLevel="0" collapsed="false">
      <c r="A255" s="2" t="s">
        <v>1708</v>
      </c>
      <c r="B255" s="2" t="s">
        <v>1709</v>
      </c>
      <c r="C255" s="2" t="s">
        <v>1710</v>
      </c>
      <c r="D255" s="2" t="s">
        <v>249</v>
      </c>
      <c r="E255" s="2" t="s">
        <v>250</v>
      </c>
      <c r="F255" s="2" t="s">
        <v>103</v>
      </c>
      <c r="G255" s="2" t="s">
        <v>139</v>
      </c>
      <c r="H255" s="2" t="s">
        <v>140</v>
      </c>
      <c r="I255" s="2" t="s">
        <v>54</v>
      </c>
      <c r="J255" s="2" t="s">
        <v>82</v>
      </c>
      <c r="K255" s="2" t="s">
        <v>234</v>
      </c>
      <c r="L255" s="2" t="s">
        <v>495</v>
      </c>
      <c r="M255" s="2" t="s">
        <v>1711</v>
      </c>
      <c r="N255" s="2" t="n">
        <v>4</v>
      </c>
      <c r="O255" s="2" t="n">
        <v>0.3</v>
      </c>
      <c r="P255" s="2" t="n">
        <v>105.71</v>
      </c>
      <c r="Q255" s="2" t="n">
        <v>6.95</v>
      </c>
      <c r="R255" s="2" t="s">
        <v>121</v>
      </c>
      <c r="S255" s="2" t="s">
        <v>33</v>
      </c>
    </row>
    <row r="256" customFormat="false" ht="15" hidden="false" customHeight="false" outlineLevel="0" collapsed="false">
      <c r="A256" s="2" t="s">
        <v>1712</v>
      </c>
      <c r="B256" s="2" t="s">
        <v>1713</v>
      </c>
      <c r="C256" s="2" t="s">
        <v>1714</v>
      </c>
      <c r="D256" s="2" t="s">
        <v>1715</v>
      </c>
      <c r="E256" s="2" t="s">
        <v>1716</v>
      </c>
      <c r="F256" s="2" t="s">
        <v>782</v>
      </c>
      <c r="G256" s="2" t="s">
        <v>1717</v>
      </c>
      <c r="H256" s="2" t="s">
        <v>169</v>
      </c>
      <c r="I256" s="2" t="s">
        <v>106</v>
      </c>
      <c r="J256" s="2" t="s">
        <v>93</v>
      </c>
      <c r="K256" s="2" t="s">
        <v>170</v>
      </c>
      <c r="L256" s="2" t="s">
        <v>226</v>
      </c>
      <c r="M256" s="2" t="s">
        <v>1718</v>
      </c>
      <c r="N256" s="2" t="n">
        <v>5</v>
      </c>
      <c r="O256" s="2" t="n">
        <v>0.2</v>
      </c>
      <c r="P256" s="2" t="n">
        <v>20.49</v>
      </c>
      <c r="Q256" s="2" t="n">
        <v>49.16</v>
      </c>
      <c r="R256" s="2" t="s">
        <v>32</v>
      </c>
      <c r="S256" s="2" t="s">
        <v>73</v>
      </c>
    </row>
    <row r="257" customFormat="false" ht="15" hidden="false" customHeight="false" outlineLevel="0" collapsed="false">
      <c r="A257" s="2" t="s">
        <v>1719</v>
      </c>
      <c r="B257" s="2" t="s">
        <v>1720</v>
      </c>
      <c r="C257" s="2" t="s">
        <v>1721</v>
      </c>
      <c r="D257" s="2" t="s">
        <v>1722</v>
      </c>
      <c r="E257" s="2" t="s">
        <v>1723</v>
      </c>
      <c r="F257" s="2" t="s">
        <v>103</v>
      </c>
      <c r="G257" s="2" t="s">
        <v>521</v>
      </c>
      <c r="H257" s="2" t="s">
        <v>373</v>
      </c>
      <c r="I257" s="2" t="s">
        <v>27</v>
      </c>
      <c r="J257" s="2" t="s">
        <v>93</v>
      </c>
      <c r="K257" s="2" t="s">
        <v>199</v>
      </c>
      <c r="L257" s="2" t="s">
        <v>789</v>
      </c>
      <c r="M257" s="2" t="s">
        <v>1724</v>
      </c>
      <c r="N257" s="2" t="n">
        <v>1</v>
      </c>
      <c r="O257" s="2" t="n">
        <v>0.3</v>
      </c>
      <c r="P257" s="2" t="n">
        <v>-2.68</v>
      </c>
      <c r="Q257" s="2" t="n">
        <v>18.64</v>
      </c>
      <c r="R257" s="2" t="s">
        <v>121</v>
      </c>
      <c r="S257" s="2" t="s">
        <v>73</v>
      </c>
    </row>
    <row r="258" customFormat="false" ht="15" hidden="false" customHeight="false" outlineLevel="0" collapsed="false">
      <c r="A258" s="2" t="s">
        <v>1725</v>
      </c>
      <c r="B258" s="2" t="s">
        <v>1726</v>
      </c>
      <c r="C258" s="2" t="s">
        <v>281</v>
      </c>
      <c r="D258" s="2" t="s">
        <v>1727</v>
      </c>
      <c r="E258" s="2" t="s">
        <v>1728</v>
      </c>
      <c r="F258" s="2" t="s">
        <v>196</v>
      </c>
      <c r="G258" s="2"/>
      <c r="H258" s="2" t="s">
        <v>41</v>
      </c>
      <c r="I258" s="2" t="s">
        <v>42</v>
      </c>
      <c r="J258" s="2" t="s">
        <v>93</v>
      </c>
      <c r="K258" s="2" t="s">
        <v>130</v>
      </c>
      <c r="L258" s="2" t="s">
        <v>522</v>
      </c>
      <c r="M258" s="2" t="s">
        <v>1729</v>
      </c>
      <c r="N258" s="2" t="n">
        <v>2</v>
      </c>
      <c r="O258" s="2" t="n">
        <v>0</v>
      </c>
      <c r="P258" s="2" t="n">
        <v>13.39</v>
      </c>
      <c r="Q258" s="2" t="n">
        <v>43.46</v>
      </c>
      <c r="R258" s="2" t="s">
        <v>72</v>
      </c>
      <c r="S258" s="2" t="s">
        <v>60</v>
      </c>
    </row>
    <row r="259" customFormat="false" ht="15" hidden="false" customHeight="false" outlineLevel="0" collapsed="false">
      <c r="A259" s="2" t="s">
        <v>1730</v>
      </c>
      <c r="B259" s="2" t="s">
        <v>1731</v>
      </c>
      <c r="C259" s="2" t="s">
        <v>1732</v>
      </c>
      <c r="D259" s="2" t="s">
        <v>1733</v>
      </c>
      <c r="E259" s="2" t="s">
        <v>1734</v>
      </c>
      <c r="F259" s="2" t="s">
        <v>39</v>
      </c>
      <c r="G259" s="2" t="s">
        <v>915</v>
      </c>
      <c r="H259" s="2" t="s">
        <v>259</v>
      </c>
      <c r="I259" s="2" t="s">
        <v>106</v>
      </c>
      <c r="J259" s="2" t="s">
        <v>129</v>
      </c>
      <c r="K259" s="2" t="s">
        <v>130</v>
      </c>
      <c r="L259" s="2" t="s">
        <v>522</v>
      </c>
      <c r="M259" s="2" t="s">
        <v>1735</v>
      </c>
      <c r="N259" s="2" t="n">
        <v>2</v>
      </c>
      <c r="O259" s="2" t="n">
        <v>0</v>
      </c>
      <c r="P259" s="2" t="n">
        <v>14.48</v>
      </c>
      <c r="Q259" s="2" t="n">
        <v>35.24</v>
      </c>
      <c r="R259" s="2" t="s">
        <v>72</v>
      </c>
      <c r="S259" s="2" t="s">
        <v>73</v>
      </c>
    </row>
    <row r="260" customFormat="false" ht="15" hidden="false" customHeight="false" outlineLevel="0" collapsed="false">
      <c r="A260" s="2" t="s">
        <v>1736</v>
      </c>
      <c r="B260" s="2" t="s">
        <v>526</v>
      </c>
      <c r="C260" s="2" t="s">
        <v>1737</v>
      </c>
      <c r="D260" s="2" t="s">
        <v>1738</v>
      </c>
      <c r="E260" s="2" t="s">
        <v>1739</v>
      </c>
      <c r="F260" s="2" t="s">
        <v>594</v>
      </c>
      <c r="G260" s="2" t="s">
        <v>1254</v>
      </c>
      <c r="H260" s="2" t="s">
        <v>243</v>
      </c>
      <c r="I260" s="2" t="s">
        <v>54</v>
      </c>
      <c r="J260" s="2" t="s">
        <v>343</v>
      </c>
      <c r="K260" s="2" t="s">
        <v>29</v>
      </c>
      <c r="L260" s="2" t="s">
        <v>30</v>
      </c>
      <c r="M260" s="2" t="s">
        <v>1740</v>
      </c>
      <c r="N260" s="2" t="n">
        <v>11</v>
      </c>
      <c r="O260" s="2" t="n">
        <v>0.15</v>
      </c>
      <c r="P260" s="2" t="n">
        <v>17.75</v>
      </c>
      <c r="Q260" s="2" t="n">
        <v>45.58</v>
      </c>
      <c r="R260" s="2" t="s">
        <v>202</v>
      </c>
      <c r="S260" s="2" t="s">
        <v>60</v>
      </c>
    </row>
    <row r="261" customFormat="false" ht="15" hidden="false" customHeight="false" outlineLevel="0" collapsed="false">
      <c r="A261" s="2" t="s">
        <v>1741</v>
      </c>
      <c r="B261" s="2" t="s">
        <v>1742</v>
      </c>
      <c r="C261" s="2" t="s">
        <v>1743</v>
      </c>
      <c r="D261" s="2" t="s">
        <v>1744</v>
      </c>
      <c r="E261" s="2" t="s">
        <v>1745</v>
      </c>
      <c r="F261" s="2" t="s">
        <v>196</v>
      </c>
      <c r="G261" s="2" t="s">
        <v>1566</v>
      </c>
      <c r="H261" s="2" t="s">
        <v>612</v>
      </c>
      <c r="I261" s="2" t="s">
        <v>106</v>
      </c>
      <c r="J261" s="2" t="s">
        <v>387</v>
      </c>
      <c r="K261" s="2" t="s">
        <v>94</v>
      </c>
      <c r="L261" s="2" t="s">
        <v>95</v>
      </c>
      <c r="M261" s="2" t="s">
        <v>1746</v>
      </c>
      <c r="N261" s="2" t="n">
        <v>9</v>
      </c>
      <c r="O261" s="2" t="n">
        <v>0.3</v>
      </c>
      <c r="P261" s="2" t="n">
        <v>-3.72</v>
      </c>
      <c r="Q261" s="2" t="n">
        <v>40.14</v>
      </c>
      <c r="R261" s="2" t="s">
        <v>72</v>
      </c>
      <c r="S261" s="2" t="s">
        <v>110</v>
      </c>
    </row>
    <row r="262" customFormat="false" ht="15" hidden="false" customHeight="false" outlineLevel="0" collapsed="false">
      <c r="A262" s="2" t="s">
        <v>1747</v>
      </c>
      <c r="B262" s="2" t="s">
        <v>1748</v>
      </c>
      <c r="C262" s="2" t="s">
        <v>1749</v>
      </c>
      <c r="D262" s="2" t="s">
        <v>1750</v>
      </c>
      <c r="E262" s="2" t="s">
        <v>1751</v>
      </c>
      <c r="F262" s="2" t="s">
        <v>24</v>
      </c>
      <c r="G262" s="2" t="s">
        <v>25</v>
      </c>
      <c r="H262" s="2" t="s">
        <v>26</v>
      </c>
      <c r="I262" s="2" t="s">
        <v>27</v>
      </c>
      <c r="J262" s="2" t="s">
        <v>93</v>
      </c>
      <c r="K262" s="2" t="s">
        <v>94</v>
      </c>
      <c r="L262" s="2" t="s">
        <v>210</v>
      </c>
      <c r="M262" s="2" t="s">
        <v>1752</v>
      </c>
      <c r="N262" s="2" t="n">
        <v>3</v>
      </c>
      <c r="O262" s="2" t="n">
        <v>0</v>
      </c>
      <c r="P262" s="2" t="n">
        <v>8.85</v>
      </c>
      <c r="Q262" s="2" t="n">
        <v>24.11</v>
      </c>
      <c r="R262" s="2" t="s">
        <v>133</v>
      </c>
      <c r="S262" s="2" t="s">
        <v>110</v>
      </c>
    </row>
    <row r="263" customFormat="false" ht="15" hidden="false" customHeight="false" outlineLevel="0" collapsed="false">
      <c r="A263" s="2" t="s">
        <v>1753</v>
      </c>
      <c r="B263" s="2" t="s">
        <v>1754</v>
      </c>
      <c r="C263" s="2" t="s">
        <v>1755</v>
      </c>
      <c r="D263" s="2" t="s">
        <v>1756</v>
      </c>
      <c r="E263" s="2" t="s">
        <v>1757</v>
      </c>
      <c r="F263" s="2" t="s">
        <v>179</v>
      </c>
      <c r="G263" s="2" t="s">
        <v>1407</v>
      </c>
      <c r="H263" s="2" t="s">
        <v>198</v>
      </c>
      <c r="I263" s="2" t="s">
        <v>106</v>
      </c>
      <c r="J263" s="2" t="s">
        <v>82</v>
      </c>
      <c r="K263" s="2" t="s">
        <v>29</v>
      </c>
      <c r="L263" s="2" t="s">
        <v>30</v>
      </c>
      <c r="M263" s="2" t="s">
        <v>1758</v>
      </c>
      <c r="N263" s="2" t="n">
        <v>10</v>
      </c>
      <c r="O263" s="2" t="n">
        <v>0.5</v>
      </c>
      <c r="P263" s="2" t="n">
        <v>-941.3</v>
      </c>
      <c r="Q263" s="2" t="n">
        <v>49.32</v>
      </c>
      <c r="R263" s="2" t="s">
        <v>121</v>
      </c>
      <c r="S263" s="2" t="s">
        <v>73</v>
      </c>
    </row>
    <row r="264" customFormat="false" ht="15" hidden="false" customHeight="false" outlineLevel="0" collapsed="false">
      <c r="A264" s="2" t="s">
        <v>1759</v>
      </c>
      <c r="B264" s="2" t="s">
        <v>1630</v>
      </c>
      <c r="C264" s="2" t="s">
        <v>1064</v>
      </c>
      <c r="D264" s="2" t="s">
        <v>349</v>
      </c>
      <c r="E264" s="2" t="s">
        <v>350</v>
      </c>
      <c r="F264" s="2" t="s">
        <v>179</v>
      </c>
      <c r="G264" s="2" t="s">
        <v>1760</v>
      </c>
      <c r="H264" s="2" t="s">
        <v>53</v>
      </c>
      <c r="I264" s="2" t="s">
        <v>54</v>
      </c>
      <c r="J264" s="2" t="s">
        <v>82</v>
      </c>
      <c r="K264" s="2" t="s">
        <v>234</v>
      </c>
      <c r="L264" s="2" t="s">
        <v>235</v>
      </c>
      <c r="M264" s="2" t="s">
        <v>1761</v>
      </c>
      <c r="N264" s="2" t="n">
        <v>6</v>
      </c>
      <c r="O264" s="2" t="n">
        <v>0.4</v>
      </c>
      <c r="P264" s="2" t="n">
        <v>-128.88</v>
      </c>
      <c r="Q264" s="2" t="n">
        <v>9.43</v>
      </c>
      <c r="R264" s="2" t="s">
        <v>173</v>
      </c>
      <c r="S264" s="2" t="s">
        <v>60</v>
      </c>
    </row>
    <row r="265" customFormat="false" ht="15" hidden="false" customHeight="false" outlineLevel="0" collapsed="false">
      <c r="A265" s="2" t="s">
        <v>1762</v>
      </c>
      <c r="B265" s="2" t="s">
        <v>1763</v>
      </c>
      <c r="C265" s="2" t="s">
        <v>1764</v>
      </c>
      <c r="D265" s="2" t="s">
        <v>1765</v>
      </c>
      <c r="E265" s="2" t="s">
        <v>1766</v>
      </c>
      <c r="F265" s="2" t="s">
        <v>66</v>
      </c>
      <c r="G265" s="2" t="s">
        <v>1767</v>
      </c>
      <c r="H265" s="2" t="s">
        <v>373</v>
      </c>
      <c r="I265" s="2" t="s">
        <v>27</v>
      </c>
      <c r="J265" s="2" t="s">
        <v>387</v>
      </c>
      <c r="K265" s="2" t="s">
        <v>130</v>
      </c>
      <c r="L265" s="2" t="s">
        <v>131</v>
      </c>
      <c r="M265" s="2" t="s">
        <v>1768</v>
      </c>
      <c r="N265" s="2" t="n">
        <v>9</v>
      </c>
      <c r="O265" s="2" t="n">
        <v>0.2</v>
      </c>
      <c r="P265" s="2" t="n">
        <v>15.64</v>
      </c>
      <c r="Q265" s="2" t="n">
        <v>3.49</v>
      </c>
      <c r="R265" s="2" t="s">
        <v>440</v>
      </c>
      <c r="S265" s="2" t="s">
        <v>73</v>
      </c>
    </row>
    <row r="266" customFormat="false" ht="15" hidden="false" customHeight="false" outlineLevel="0" collapsed="false">
      <c r="A266" s="2" t="s">
        <v>1769</v>
      </c>
      <c r="B266" s="2" t="s">
        <v>1770</v>
      </c>
      <c r="C266" s="2" t="s">
        <v>1771</v>
      </c>
      <c r="D266" s="2" t="s">
        <v>1772</v>
      </c>
      <c r="E266" s="2" t="s">
        <v>1773</v>
      </c>
      <c r="F266" s="2" t="s">
        <v>39</v>
      </c>
      <c r="G266" s="2" t="s">
        <v>450</v>
      </c>
      <c r="H266" s="2" t="s">
        <v>259</v>
      </c>
      <c r="I266" s="2" t="s">
        <v>106</v>
      </c>
      <c r="J266" s="2" t="s">
        <v>55</v>
      </c>
      <c r="K266" s="2" t="s">
        <v>56</v>
      </c>
      <c r="L266" s="2" t="s">
        <v>307</v>
      </c>
      <c r="M266" s="2" t="s">
        <v>1774</v>
      </c>
      <c r="N266" s="2" t="n">
        <v>12</v>
      </c>
      <c r="O266" s="2" t="n">
        <v>0.15</v>
      </c>
      <c r="P266" s="2" t="n">
        <v>73</v>
      </c>
      <c r="Q266" s="2" t="n">
        <v>57.94</v>
      </c>
      <c r="R266" s="2" t="s">
        <v>190</v>
      </c>
      <c r="S266" s="2" t="s">
        <v>33</v>
      </c>
    </row>
    <row r="267" customFormat="false" ht="15" hidden="false" customHeight="false" outlineLevel="0" collapsed="false">
      <c r="A267" s="2" t="s">
        <v>1775</v>
      </c>
      <c r="B267" s="2" t="s">
        <v>1776</v>
      </c>
      <c r="C267" s="2" t="s">
        <v>1777</v>
      </c>
      <c r="D267" s="2" t="s">
        <v>1778</v>
      </c>
      <c r="E267" s="2" t="s">
        <v>1779</v>
      </c>
      <c r="F267" s="2" t="s">
        <v>24</v>
      </c>
      <c r="G267" s="2" t="s">
        <v>521</v>
      </c>
      <c r="H267" s="2" t="s">
        <v>373</v>
      </c>
      <c r="I267" s="2" t="s">
        <v>27</v>
      </c>
      <c r="J267" s="2" t="s">
        <v>188</v>
      </c>
      <c r="K267" s="2" t="s">
        <v>69</v>
      </c>
      <c r="L267" s="2" t="s">
        <v>417</v>
      </c>
      <c r="M267" s="2" t="s">
        <v>1780</v>
      </c>
      <c r="N267" s="2" t="n">
        <v>6</v>
      </c>
      <c r="O267" s="2"/>
      <c r="P267" s="2" t="n">
        <v>899.07</v>
      </c>
      <c r="Q267" s="2" t="n">
        <v>23.45</v>
      </c>
      <c r="R267" s="2" t="s">
        <v>440</v>
      </c>
      <c r="S267" s="2" t="s">
        <v>110</v>
      </c>
    </row>
    <row r="268" customFormat="false" ht="15" hidden="false" customHeight="false" outlineLevel="0" collapsed="false">
      <c r="A268" s="2" t="s">
        <v>1781</v>
      </c>
      <c r="B268" s="2" t="s">
        <v>1546</v>
      </c>
      <c r="C268" s="2" t="s">
        <v>1782</v>
      </c>
      <c r="D268" s="2" t="s">
        <v>1783</v>
      </c>
      <c r="E268" s="2" t="s">
        <v>1784</v>
      </c>
      <c r="F268" s="2" t="s">
        <v>66</v>
      </c>
      <c r="G268" s="2" t="s">
        <v>1100</v>
      </c>
      <c r="H268" s="2" t="s">
        <v>41</v>
      </c>
      <c r="I268" s="2" t="s">
        <v>42</v>
      </c>
      <c r="J268" s="2" t="s">
        <v>343</v>
      </c>
      <c r="K268" s="2" t="s">
        <v>29</v>
      </c>
      <c r="L268" s="2" t="s">
        <v>374</v>
      </c>
      <c r="M268" s="2" t="s">
        <v>1785</v>
      </c>
      <c r="N268" s="2" t="n">
        <v>8</v>
      </c>
      <c r="O268" s="2" t="n">
        <v>0</v>
      </c>
      <c r="P268" s="2" t="n">
        <v>1199.02</v>
      </c>
      <c r="Q268" s="2" t="n">
        <v>52.81</v>
      </c>
      <c r="R268" s="2" t="s">
        <v>86</v>
      </c>
      <c r="S268" s="2" t="s">
        <v>73</v>
      </c>
    </row>
    <row r="269" customFormat="false" ht="15" hidden="false" customHeight="false" outlineLevel="0" collapsed="false">
      <c r="A269" s="2" t="s">
        <v>1786</v>
      </c>
      <c r="B269" s="2" t="s">
        <v>1787</v>
      </c>
      <c r="C269" s="2" t="s">
        <v>1788</v>
      </c>
      <c r="D269" s="2" t="s">
        <v>787</v>
      </c>
      <c r="E269" s="2" t="s">
        <v>788</v>
      </c>
      <c r="F269" s="2" t="s">
        <v>79</v>
      </c>
      <c r="G269" s="2" t="s">
        <v>1180</v>
      </c>
      <c r="H269" s="2" t="s">
        <v>480</v>
      </c>
      <c r="I269" s="2" t="s">
        <v>54</v>
      </c>
      <c r="J269" s="2" t="s">
        <v>244</v>
      </c>
      <c r="K269" s="2" t="s">
        <v>56</v>
      </c>
      <c r="L269" s="2" t="s">
        <v>57</v>
      </c>
      <c r="M269" s="2" t="s">
        <v>1789</v>
      </c>
      <c r="N269" s="2" t="n">
        <v>3</v>
      </c>
      <c r="O269" s="2" t="n">
        <v>0.15</v>
      </c>
      <c r="P269" s="2" t="n">
        <v>115.39</v>
      </c>
      <c r="Q269" s="2" t="n">
        <v>7.65</v>
      </c>
      <c r="R269" s="2" t="s">
        <v>86</v>
      </c>
      <c r="S269" s="2" t="s">
        <v>60</v>
      </c>
    </row>
    <row r="270" customFormat="false" ht="15" hidden="false" customHeight="false" outlineLevel="0" collapsed="false">
      <c r="A270" s="2" t="s">
        <v>1790</v>
      </c>
      <c r="B270" s="2" t="s">
        <v>1791</v>
      </c>
      <c r="C270" s="2" t="s">
        <v>1792</v>
      </c>
      <c r="D270" s="2" t="s">
        <v>1793</v>
      </c>
      <c r="E270" s="2" t="s">
        <v>1794</v>
      </c>
      <c r="F270" s="2" t="s">
        <v>149</v>
      </c>
      <c r="G270" s="2" t="s">
        <v>372</v>
      </c>
      <c r="H270" s="2" t="s">
        <v>373</v>
      </c>
      <c r="I270" s="2" t="s">
        <v>27</v>
      </c>
      <c r="J270" s="2" t="s">
        <v>82</v>
      </c>
      <c r="K270" s="2" t="s">
        <v>234</v>
      </c>
      <c r="L270" s="2" t="s">
        <v>344</v>
      </c>
      <c r="M270" s="2" t="s">
        <v>1795</v>
      </c>
      <c r="N270" s="2" t="n">
        <v>10</v>
      </c>
      <c r="O270" s="2" t="n">
        <v>0.3</v>
      </c>
      <c r="P270" s="2" t="n">
        <v>300.75</v>
      </c>
      <c r="Q270" s="2" t="n">
        <v>25.73</v>
      </c>
      <c r="R270" s="2" t="s">
        <v>173</v>
      </c>
      <c r="S270" s="2" t="s">
        <v>110</v>
      </c>
    </row>
    <row r="271" customFormat="false" ht="15" hidden="false" customHeight="false" outlineLevel="0" collapsed="false">
      <c r="A271" s="2" t="s">
        <v>1796</v>
      </c>
      <c r="B271" s="2" t="s">
        <v>1797</v>
      </c>
      <c r="C271" s="2" t="s">
        <v>1798</v>
      </c>
      <c r="D271" s="2" t="s">
        <v>1799</v>
      </c>
      <c r="E271" s="2" t="s">
        <v>1800</v>
      </c>
      <c r="F271" s="2" t="s">
        <v>196</v>
      </c>
      <c r="G271" s="2" t="s">
        <v>159</v>
      </c>
      <c r="H271" s="2" t="s">
        <v>160</v>
      </c>
      <c r="I271" s="2" t="s">
        <v>27</v>
      </c>
      <c r="J271" s="2" t="s">
        <v>188</v>
      </c>
      <c r="K271" s="2" t="s">
        <v>69</v>
      </c>
      <c r="L271" s="2" t="s">
        <v>70</v>
      </c>
      <c r="M271" s="2" t="s">
        <v>1801</v>
      </c>
      <c r="N271" s="2" t="n">
        <v>6</v>
      </c>
      <c r="O271" s="2" t="n">
        <v>0.4</v>
      </c>
      <c r="P271" s="2" t="n">
        <v>-75.89</v>
      </c>
      <c r="Q271" s="2" t="n">
        <v>23.73</v>
      </c>
      <c r="R271" s="2" t="s">
        <v>72</v>
      </c>
      <c r="S271" s="2" t="s">
        <v>33</v>
      </c>
    </row>
    <row r="272" customFormat="false" ht="15" hidden="false" customHeight="false" outlineLevel="0" collapsed="false">
      <c r="A272" s="2" t="s">
        <v>1802</v>
      </c>
      <c r="B272" s="2" t="s">
        <v>1803</v>
      </c>
      <c r="C272" s="2" t="s">
        <v>1804</v>
      </c>
      <c r="D272" s="2" t="s">
        <v>1805</v>
      </c>
      <c r="E272" s="2" t="s">
        <v>1806</v>
      </c>
      <c r="F272" s="2" t="s">
        <v>149</v>
      </c>
      <c r="G272" s="2" t="s">
        <v>1254</v>
      </c>
      <c r="H272" s="2" t="s">
        <v>243</v>
      </c>
      <c r="I272" s="2" t="s">
        <v>54</v>
      </c>
      <c r="J272" s="2" t="s">
        <v>343</v>
      </c>
      <c r="K272" s="2" t="s">
        <v>118</v>
      </c>
      <c r="L272" s="2" t="s">
        <v>260</v>
      </c>
      <c r="M272" s="2" t="s">
        <v>1807</v>
      </c>
      <c r="N272" s="2" t="n">
        <v>10</v>
      </c>
      <c r="O272" s="2" t="n">
        <v>0.2</v>
      </c>
      <c r="P272" s="2" t="n">
        <v>64.66</v>
      </c>
      <c r="Q272" s="2"/>
      <c r="R272" s="2" t="s">
        <v>440</v>
      </c>
      <c r="S272" s="2" t="s">
        <v>33</v>
      </c>
    </row>
    <row r="273" customFormat="false" ht="15" hidden="false" customHeight="false" outlineLevel="0" collapsed="false">
      <c r="A273" s="2" t="s">
        <v>1808</v>
      </c>
      <c r="B273" s="2" t="s">
        <v>1809</v>
      </c>
      <c r="C273" s="2" t="s">
        <v>1810</v>
      </c>
      <c r="D273" s="2" t="s">
        <v>1811</v>
      </c>
      <c r="E273" s="2" t="s">
        <v>1812</v>
      </c>
      <c r="F273" s="2" t="s">
        <v>594</v>
      </c>
      <c r="G273" s="2" t="s">
        <v>1506</v>
      </c>
      <c r="H273" s="2" t="s">
        <v>315</v>
      </c>
      <c r="I273" s="2" t="s">
        <v>54</v>
      </c>
      <c r="J273" s="2" t="s">
        <v>343</v>
      </c>
      <c r="K273" s="2" t="s">
        <v>234</v>
      </c>
      <c r="L273" s="2" t="s">
        <v>495</v>
      </c>
      <c r="M273" s="2" t="s">
        <v>1813</v>
      </c>
      <c r="N273" s="2" t="n">
        <v>7</v>
      </c>
      <c r="O273" s="2"/>
      <c r="P273" s="2" t="n">
        <v>29.19</v>
      </c>
      <c r="Q273" s="2" t="n">
        <v>59.28</v>
      </c>
      <c r="R273" s="2" t="s">
        <v>133</v>
      </c>
      <c r="S273" s="2" t="s">
        <v>33</v>
      </c>
    </row>
    <row r="274" customFormat="false" ht="15" hidden="false" customHeight="false" outlineLevel="0" collapsed="false">
      <c r="A274" s="2" t="s">
        <v>1814</v>
      </c>
      <c r="B274" s="2" t="s">
        <v>1815</v>
      </c>
      <c r="C274" s="2" t="s">
        <v>1816</v>
      </c>
      <c r="D274" s="2" t="s">
        <v>1817</v>
      </c>
      <c r="E274" s="2" t="s">
        <v>1818</v>
      </c>
      <c r="F274" s="2" t="s">
        <v>149</v>
      </c>
      <c r="G274" s="2" t="s">
        <v>1819</v>
      </c>
      <c r="H274" s="2" t="s">
        <v>315</v>
      </c>
      <c r="I274" s="2" t="s">
        <v>54</v>
      </c>
      <c r="J274" s="2" t="s">
        <v>55</v>
      </c>
      <c r="K274" s="2" t="s">
        <v>44</v>
      </c>
      <c r="L274" s="2" t="s">
        <v>596</v>
      </c>
      <c r="M274" s="2" t="s">
        <v>1820</v>
      </c>
      <c r="N274" s="2" t="n">
        <v>3</v>
      </c>
      <c r="O274" s="2" t="n">
        <v>0.2</v>
      </c>
      <c r="P274" s="2" t="n">
        <v>-52.12</v>
      </c>
      <c r="Q274" s="2" t="n">
        <v>34.66</v>
      </c>
      <c r="R274" s="2" t="s">
        <v>202</v>
      </c>
      <c r="S274" s="2" t="s">
        <v>110</v>
      </c>
    </row>
    <row r="275" customFormat="false" ht="15" hidden="false" customHeight="false" outlineLevel="0" collapsed="false">
      <c r="A275" s="2" t="s">
        <v>1821</v>
      </c>
      <c r="B275" s="2" t="s">
        <v>1822</v>
      </c>
      <c r="C275" s="2" t="s">
        <v>1823</v>
      </c>
      <c r="D275" s="2" t="s">
        <v>794</v>
      </c>
      <c r="E275" s="2" t="s">
        <v>795</v>
      </c>
      <c r="F275" s="2" t="s">
        <v>196</v>
      </c>
      <c r="G275" s="2" t="s">
        <v>298</v>
      </c>
      <c r="H275" s="2" t="s">
        <v>299</v>
      </c>
      <c r="I275" s="2" t="s">
        <v>42</v>
      </c>
      <c r="J275" s="2" t="s">
        <v>82</v>
      </c>
      <c r="K275" s="2" t="s">
        <v>29</v>
      </c>
      <c r="L275" s="2" t="s">
        <v>374</v>
      </c>
      <c r="M275" s="2" t="s">
        <v>1824</v>
      </c>
      <c r="N275" s="2" t="n">
        <v>5</v>
      </c>
      <c r="O275" s="2" t="n">
        <v>0.4</v>
      </c>
      <c r="P275" s="2" t="n">
        <v>-304.56</v>
      </c>
      <c r="Q275" s="2" t="n">
        <v>28.88</v>
      </c>
      <c r="R275" s="2" t="s">
        <v>47</v>
      </c>
      <c r="S275" s="2" t="s">
        <v>60</v>
      </c>
    </row>
    <row r="276" customFormat="false" ht="15" hidden="false" customHeight="false" outlineLevel="0" collapsed="false">
      <c r="A276" s="2" t="s">
        <v>1825</v>
      </c>
      <c r="B276" s="2" t="s">
        <v>1036</v>
      </c>
      <c r="C276" s="2" t="s">
        <v>1826</v>
      </c>
      <c r="D276" s="2" t="s">
        <v>1827</v>
      </c>
      <c r="E276" s="2" t="s">
        <v>1828</v>
      </c>
      <c r="F276" s="2" t="s">
        <v>1412</v>
      </c>
      <c r="G276" s="2" t="s">
        <v>1760</v>
      </c>
      <c r="H276" s="2" t="s">
        <v>53</v>
      </c>
      <c r="I276" s="2" t="s">
        <v>54</v>
      </c>
      <c r="J276" s="2" t="s">
        <v>387</v>
      </c>
      <c r="K276" s="2" t="s">
        <v>130</v>
      </c>
      <c r="L276" s="2" t="s">
        <v>131</v>
      </c>
      <c r="M276" s="2" t="s">
        <v>1829</v>
      </c>
      <c r="N276" s="2" t="n">
        <v>3</v>
      </c>
      <c r="O276" s="2" t="n">
        <v>0.2</v>
      </c>
      <c r="P276" s="2" t="n">
        <v>14.13</v>
      </c>
      <c r="Q276" s="2" t="n">
        <v>10.98</v>
      </c>
      <c r="R276" s="2" t="s">
        <v>72</v>
      </c>
      <c r="S276" s="2" t="s">
        <v>73</v>
      </c>
    </row>
    <row r="277" customFormat="false" ht="15" hidden="false" customHeight="false" outlineLevel="0" collapsed="false">
      <c r="A277" s="2" t="s">
        <v>1830</v>
      </c>
      <c r="B277" s="2" t="s">
        <v>1831</v>
      </c>
      <c r="C277" s="2" t="s">
        <v>1832</v>
      </c>
      <c r="D277" s="2" t="s">
        <v>1833</v>
      </c>
      <c r="E277" s="2" t="s">
        <v>1834</v>
      </c>
      <c r="F277" s="2" t="s">
        <v>24</v>
      </c>
      <c r="G277" s="2" t="s">
        <v>52</v>
      </c>
      <c r="H277" s="2" t="s">
        <v>53</v>
      </c>
      <c r="I277" s="2" t="s">
        <v>54</v>
      </c>
      <c r="J277" s="2" t="s">
        <v>55</v>
      </c>
      <c r="K277" s="2" t="s">
        <v>44</v>
      </c>
      <c r="L277" s="2" t="s">
        <v>45</v>
      </c>
      <c r="M277" s="2" t="s">
        <v>1835</v>
      </c>
      <c r="N277" s="2" t="n">
        <v>7</v>
      </c>
      <c r="O277" s="2" t="n">
        <v>0.5</v>
      </c>
      <c r="P277" s="2" t="n">
        <v>-126.19</v>
      </c>
      <c r="Q277" s="2" t="n">
        <v>30.04</v>
      </c>
      <c r="R277" s="2" t="s">
        <v>32</v>
      </c>
      <c r="S277" s="2" t="s">
        <v>73</v>
      </c>
    </row>
    <row r="278" customFormat="false" ht="15" hidden="false" customHeight="false" outlineLevel="0" collapsed="false">
      <c r="A278" s="2" t="s">
        <v>1836</v>
      </c>
      <c r="B278" s="2" t="s">
        <v>1078</v>
      </c>
      <c r="C278" s="2" t="s">
        <v>1837</v>
      </c>
      <c r="D278" s="2" t="s">
        <v>1497</v>
      </c>
      <c r="E278" s="2" t="s">
        <v>1498</v>
      </c>
      <c r="F278" s="2" t="s">
        <v>39</v>
      </c>
      <c r="G278" s="2" t="s">
        <v>702</v>
      </c>
      <c r="H278" s="2" t="s">
        <v>105</v>
      </c>
      <c r="I278" s="2" t="s">
        <v>106</v>
      </c>
      <c r="J278" s="2" t="s">
        <v>55</v>
      </c>
      <c r="K278" s="2" t="s">
        <v>277</v>
      </c>
      <c r="L278" s="2" t="s">
        <v>613</v>
      </c>
      <c r="M278" s="2" t="s">
        <v>1838</v>
      </c>
      <c r="N278" s="2" t="n">
        <v>6</v>
      </c>
      <c r="O278" s="2" t="n">
        <v>0.1</v>
      </c>
      <c r="P278" s="2" t="n">
        <v>25.12</v>
      </c>
      <c r="Q278" s="2" t="n">
        <v>42.3</v>
      </c>
      <c r="R278" s="2" t="s">
        <v>72</v>
      </c>
      <c r="S278" s="2" t="s">
        <v>60</v>
      </c>
    </row>
    <row r="279" customFormat="false" ht="15" hidden="false" customHeight="false" outlineLevel="0" collapsed="false">
      <c r="A279" s="2" t="s">
        <v>1839</v>
      </c>
      <c r="B279" s="2" t="s">
        <v>1840</v>
      </c>
      <c r="C279" s="2" t="s">
        <v>1841</v>
      </c>
      <c r="D279" s="2" t="s">
        <v>1842</v>
      </c>
      <c r="E279" s="2" t="s">
        <v>1843</v>
      </c>
      <c r="F279" s="2" t="s">
        <v>66</v>
      </c>
      <c r="G279" s="2" t="s">
        <v>1644</v>
      </c>
      <c r="H279" s="2" t="s">
        <v>169</v>
      </c>
      <c r="I279" s="2" t="s">
        <v>106</v>
      </c>
      <c r="J279" s="2" t="s">
        <v>82</v>
      </c>
      <c r="K279" s="2" t="s">
        <v>83</v>
      </c>
      <c r="L279" s="2" t="s">
        <v>431</v>
      </c>
      <c r="M279" s="2" t="s">
        <v>1844</v>
      </c>
      <c r="N279" s="2" t="n">
        <v>8</v>
      </c>
      <c r="O279" s="2" t="n">
        <v>0.1</v>
      </c>
      <c r="P279" s="2" t="n">
        <v>939.65</v>
      </c>
      <c r="Q279" s="2" t="n">
        <v>54.01</v>
      </c>
      <c r="R279" s="2" t="s">
        <v>86</v>
      </c>
      <c r="S279" s="2" t="s">
        <v>73</v>
      </c>
    </row>
    <row r="280" customFormat="false" ht="15" hidden="false" customHeight="false" outlineLevel="0" collapsed="false">
      <c r="A280" s="2" t="s">
        <v>1845</v>
      </c>
      <c r="B280" s="2" t="s">
        <v>1846</v>
      </c>
      <c r="C280" s="2" t="s">
        <v>1847</v>
      </c>
      <c r="D280" s="2" t="s">
        <v>1848</v>
      </c>
      <c r="E280" s="2" t="s">
        <v>1849</v>
      </c>
      <c r="F280" s="2" t="s">
        <v>24</v>
      </c>
      <c r="G280" s="2" t="s">
        <v>208</v>
      </c>
      <c r="H280" s="2" t="s">
        <v>209</v>
      </c>
      <c r="I280" s="2" t="s">
        <v>27</v>
      </c>
      <c r="J280" s="2" t="s">
        <v>244</v>
      </c>
      <c r="K280" s="2" t="s">
        <v>56</v>
      </c>
      <c r="L280" s="2" t="s">
        <v>536</v>
      </c>
      <c r="M280" s="2" t="s">
        <v>1850</v>
      </c>
      <c r="N280" s="2" t="n">
        <v>7</v>
      </c>
      <c r="O280" s="2" t="n">
        <v>0.15</v>
      </c>
      <c r="P280" s="2" t="n">
        <v>305.6</v>
      </c>
      <c r="Q280" s="2" t="n">
        <v>53.41</v>
      </c>
      <c r="R280" s="2" t="s">
        <v>190</v>
      </c>
      <c r="S280" s="2" t="s">
        <v>33</v>
      </c>
    </row>
    <row r="281" customFormat="false" ht="15" hidden="false" customHeight="false" outlineLevel="0" collapsed="false">
      <c r="A281" s="2" t="s">
        <v>1851</v>
      </c>
      <c r="B281" s="2" t="s">
        <v>1852</v>
      </c>
      <c r="C281" s="2" t="s">
        <v>1853</v>
      </c>
      <c r="D281" s="2" t="s">
        <v>1854</v>
      </c>
      <c r="E281" s="2" t="s">
        <v>1855</v>
      </c>
      <c r="F281" s="2" t="s">
        <v>24</v>
      </c>
      <c r="G281" s="2" t="s">
        <v>197</v>
      </c>
      <c r="H281" s="2" t="s">
        <v>198</v>
      </c>
      <c r="I281" s="2" t="s">
        <v>106</v>
      </c>
      <c r="J281" s="2" t="s">
        <v>93</v>
      </c>
      <c r="K281" s="2" t="s">
        <v>388</v>
      </c>
      <c r="L281" s="2" t="s">
        <v>465</v>
      </c>
      <c r="M281" s="2" t="s">
        <v>1856</v>
      </c>
      <c r="N281" s="2" t="n">
        <v>8</v>
      </c>
      <c r="O281" s="2"/>
      <c r="P281" s="2" t="n">
        <v>12.11</v>
      </c>
      <c r="Q281" s="2" t="n">
        <v>32.06</v>
      </c>
      <c r="R281" s="2" t="s">
        <v>86</v>
      </c>
      <c r="S281" s="2" t="s">
        <v>60</v>
      </c>
    </row>
    <row r="282" customFormat="false" ht="15" hidden="false" customHeight="false" outlineLevel="0" collapsed="false">
      <c r="A282" s="2" t="s">
        <v>1857</v>
      </c>
      <c r="B282" s="2" t="s">
        <v>1858</v>
      </c>
      <c r="C282" s="2" t="s">
        <v>1859</v>
      </c>
      <c r="D282" s="2" t="s">
        <v>1860</v>
      </c>
      <c r="E282" s="2" t="s">
        <v>1861</v>
      </c>
      <c r="F282" s="2" t="s">
        <v>66</v>
      </c>
      <c r="G282" s="2" t="s">
        <v>1523</v>
      </c>
      <c r="H282" s="2" t="s">
        <v>117</v>
      </c>
      <c r="I282" s="2" t="s">
        <v>27</v>
      </c>
      <c r="J282" s="2" t="s">
        <v>93</v>
      </c>
      <c r="K282" s="2" t="s">
        <v>141</v>
      </c>
      <c r="L282" s="2" t="s">
        <v>864</v>
      </c>
      <c r="M282" s="2" t="s">
        <v>1862</v>
      </c>
      <c r="N282" s="2" t="n">
        <v>1</v>
      </c>
      <c r="O282" s="2" t="n">
        <v>0.15</v>
      </c>
      <c r="P282" s="2" t="n">
        <v>1.71</v>
      </c>
      <c r="Q282" s="2" t="n">
        <v>34.2</v>
      </c>
      <c r="R282" s="2" t="s">
        <v>1863</v>
      </c>
      <c r="S282" s="2" t="s">
        <v>33</v>
      </c>
    </row>
    <row r="283" customFormat="false" ht="15" hidden="false" customHeight="false" outlineLevel="0" collapsed="false">
      <c r="A283" s="2" t="s">
        <v>1864</v>
      </c>
      <c r="B283" s="2" t="s">
        <v>1300</v>
      </c>
      <c r="C283" s="2" t="s">
        <v>1865</v>
      </c>
      <c r="D283" s="2" t="s">
        <v>1866</v>
      </c>
      <c r="E283" s="2" t="s">
        <v>1867</v>
      </c>
      <c r="F283" s="2" t="s">
        <v>149</v>
      </c>
      <c r="G283" s="2" t="s">
        <v>766</v>
      </c>
      <c r="H283" s="2" t="s">
        <v>299</v>
      </c>
      <c r="I283" s="2" t="s">
        <v>42</v>
      </c>
      <c r="J283" s="2" t="s">
        <v>387</v>
      </c>
      <c r="K283" s="2" t="s">
        <v>130</v>
      </c>
      <c r="L283" s="2" t="s">
        <v>131</v>
      </c>
      <c r="M283" s="2" t="s">
        <v>1868</v>
      </c>
      <c r="N283" s="2" t="n">
        <v>7</v>
      </c>
      <c r="O283" s="2" t="n">
        <v>0.5</v>
      </c>
      <c r="P283" s="2" t="n">
        <v>-60.17</v>
      </c>
      <c r="Q283" s="2" t="n">
        <v>27.57</v>
      </c>
      <c r="R283" s="2" t="s">
        <v>324</v>
      </c>
      <c r="S283" s="2" t="s">
        <v>73</v>
      </c>
    </row>
    <row r="284" customFormat="false" ht="15" hidden="false" customHeight="false" outlineLevel="0" collapsed="false">
      <c r="A284" s="2" t="s">
        <v>1869</v>
      </c>
      <c r="B284" s="2" t="s">
        <v>1870</v>
      </c>
      <c r="C284" s="2" t="s">
        <v>1871</v>
      </c>
      <c r="D284" s="2" t="s">
        <v>370</v>
      </c>
      <c r="E284" s="2" t="s">
        <v>371</v>
      </c>
      <c r="F284" s="2" t="s">
        <v>782</v>
      </c>
      <c r="G284" s="2" t="s">
        <v>1872</v>
      </c>
      <c r="H284" s="2" t="s">
        <v>365</v>
      </c>
      <c r="I284" s="2" t="s">
        <v>106</v>
      </c>
      <c r="J284" s="2" t="s">
        <v>387</v>
      </c>
      <c r="K284" s="2" t="s">
        <v>199</v>
      </c>
      <c r="L284" s="2" t="s">
        <v>200</v>
      </c>
      <c r="M284" s="2" t="s">
        <v>1873</v>
      </c>
      <c r="N284" s="2" t="n">
        <v>2</v>
      </c>
      <c r="O284" s="2" t="n">
        <v>0.2</v>
      </c>
      <c r="P284" s="2" t="n">
        <v>17.54</v>
      </c>
      <c r="Q284" s="2" t="n">
        <v>31.12</v>
      </c>
      <c r="R284" s="2" t="s">
        <v>72</v>
      </c>
      <c r="S284" s="2" t="s">
        <v>73</v>
      </c>
    </row>
    <row r="285" customFormat="false" ht="15" hidden="false" customHeight="false" outlineLevel="0" collapsed="false">
      <c r="A285" s="2" t="s">
        <v>1874</v>
      </c>
      <c r="B285" s="2" t="s">
        <v>1875</v>
      </c>
      <c r="C285" s="2" t="s">
        <v>1876</v>
      </c>
      <c r="D285" s="2" t="s">
        <v>1877</v>
      </c>
      <c r="E285" s="2" t="s">
        <v>1878</v>
      </c>
      <c r="F285" s="2" t="s">
        <v>39</v>
      </c>
      <c r="G285" s="2" t="s">
        <v>464</v>
      </c>
      <c r="H285" s="2" t="s">
        <v>299</v>
      </c>
      <c r="I285" s="2" t="s">
        <v>42</v>
      </c>
      <c r="J285" s="2" t="s">
        <v>343</v>
      </c>
      <c r="K285" s="2" t="s">
        <v>234</v>
      </c>
      <c r="L285" s="2" t="s">
        <v>344</v>
      </c>
      <c r="M285" s="2" t="s">
        <v>1879</v>
      </c>
      <c r="N285" s="2" t="n">
        <v>11</v>
      </c>
      <c r="O285" s="2" t="n">
        <v>0.2</v>
      </c>
      <c r="P285" s="2" t="n">
        <v>-155.82</v>
      </c>
      <c r="Q285" s="2" t="n">
        <v>13.76</v>
      </c>
      <c r="R285" s="2" t="s">
        <v>162</v>
      </c>
      <c r="S285" s="2" t="s">
        <v>73</v>
      </c>
    </row>
    <row r="286" customFormat="false" ht="15" hidden="false" customHeight="false" outlineLevel="0" collapsed="false">
      <c r="A286" s="2" t="s">
        <v>1880</v>
      </c>
      <c r="B286" s="2" t="s">
        <v>1881</v>
      </c>
      <c r="C286" s="2" t="s">
        <v>1882</v>
      </c>
      <c r="D286" s="2" t="s">
        <v>1883</v>
      </c>
      <c r="E286" s="2" t="s">
        <v>1884</v>
      </c>
      <c r="F286" s="2" t="s">
        <v>594</v>
      </c>
      <c r="G286" s="2" t="s">
        <v>1885</v>
      </c>
      <c r="H286" s="2" t="s">
        <v>365</v>
      </c>
      <c r="I286" s="2" t="s">
        <v>106</v>
      </c>
      <c r="J286" s="2" t="s">
        <v>55</v>
      </c>
      <c r="K286" s="2" t="s">
        <v>69</v>
      </c>
      <c r="L286" s="2" t="s">
        <v>107</v>
      </c>
      <c r="M286" s="2" t="s">
        <v>1886</v>
      </c>
      <c r="N286" s="2" t="n">
        <v>1</v>
      </c>
      <c r="O286" s="2" t="n">
        <v>0.1</v>
      </c>
      <c r="P286" s="2" t="n">
        <v>94.27</v>
      </c>
      <c r="Q286" s="2" t="n">
        <v>20.03</v>
      </c>
      <c r="R286" s="2" t="s">
        <v>133</v>
      </c>
      <c r="S286" s="2" t="s">
        <v>73</v>
      </c>
    </row>
    <row r="287" customFormat="false" ht="15" hidden="false" customHeight="false" outlineLevel="0" collapsed="false">
      <c r="A287" s="2" t="s">
        <v>1887</v>
      </c>
      <c r="B287" s="2" t="s">
        <v>1888</v>
      </c>
      <c r="C287" s="2" t="s">
        <v>1889</v>
      </c>
      <c r="D287" s="2" t="s">
        <v>1890</v>
      </c>
      <c r="E287" s="2" t="s">
        <v>1891</v>
      </c>
      <c r="F287" s="2" t="s">
        <v>1412</v>
      </c>
      <c r="G287" s="2" t="s">
        <v>508</v>
      </c>
      <c r="H287" s="2" t="s">
        <v>480</v>
      </c>
      <c r="I287" s="2" t="s">
        <v>54</v>
      </c>
      <c r="J287" s="2" t="s">
        <v>82</v>
      </c>
      <c r="K287" s="2" t="s">
        <v>83</v>
      </c>
      <c r="L287" s="2" t="s">
        <v>431</v>
      </c>
      <c r="M287" s="2" t="s">
        <v>1892</v>
      </c>
      <c r="N287" s="2" t="n">
        <v>11</v>
      </c>
      <c r="O287" s="2" t="n">
        <v>0.3</v>
      </c>
      <c r="P287" s="2" t="n">
        <v>162.58</v>
      </c>
      <c r="Q287" s="2" t="n">
        <v>5.32</v>
      </c>
      <c r="R287" s="2" t="s">
        <v>181</v>
      </c>
      <c r="S287" s="2" t="s">
        <v>33</v>
      </c>
    </row>
    <row r="288" customFormat="false" ht="15" hidden="false" customHeight="false" outlineLevel="0" collapsed="false">
      <c r="A288" s="2" t="s">
        <v>1893</v>
      </c>
      <c r="B288" s="2" t="s">
        <v>1894</v>
      </c>
      <c r="C288" s="2" t="s">
        <v>1895</v>
      </c>
      <c r="D288" s="2" t="s">
        <v>1896</v>
      </c>
      <c r="E288" s="2" t="s">
        <v>1897</v>
      </c>
      <c r="F288" s="2" t="s">
        <v>66</v>
      </c>
      <c r="G288" s="2" t="s">
        <v>187</v>
      </c>
      <c r="H288" s="2" t="s">
        <v>151</v>
      </c>
      <c r="I288" s="2" t="s">
        <v>27</v>
      </c>
      <c r="J288" s="2" t="s">
        <v>55</v>
      </c>
      <c r="K288" s="2" t="s">
        <v>44</v>
      </c>
      <c r="L288" s="2" t="s">
        <v>351</v>
      </c>
      <c r="M288" s="2" t="s">
        <v>1898</v>
      </c>
      <c r="N288" s="2" t="n">
        <v>7</v>
      </c>
      <c r="O288" s="2" t="n">
        <v>0</v>
      </c>
      <c r="P288" s="2" t="n">
        <v>85.67</v>
      </c>
      <c r="Q288" s="2" t="n">
        <v>44.44</v>
      </c>
      <c r="R288" s="2" t="s">
        <v>32</v>
      </c>
      <c r="S288" s="2" t="s">
        <v>110</v>
      </c>
    </row>
    <row r="289" customFormat="false" ht="15" hidden="false" customHeight="false" outlineLevel="0" collapsed="false">
      <c r="A289" s="2" t="s">
        <v>1899</v>
      </c>
      <c r="B289" s="2" t="s">
        <v>1900</v>
      </c>
      <c r="C289" s="2" t="s">
        <v>1901</v>
      </c>
      <c r="D289" s="2" t="s">
        <v>1902</v>
      </c>
      <c r="E289" s="2" t="s">
        <v>1903</v>
      </c>
      <c r="F289" s="2" t="s">
        <v>66</v>
      </c>
      <c r="G289" s="2" t="s">
        <v>450</v>
      </c>
      <c r="H289" s="2" t="s">
        <v>259</v>
      </c>
      <c r="I289" s="2" t="s">
        <v>106</v>
      </c>
      <c r="J289" s="2" t="s">
        <v>343</v>
      </c>
      <c r="K289" s="2" t="s">
        <v>118</v>
      </c>
      <c r="L289" s="2" t="s">
        <v>251</v>
      </c>
      <c r="M289" s="2" t="s">
        <v>1904</v>
      </c>
      <c r="N289" s="2" t="n">
        <v>4</v>
      </c>
      <c r="O289" s="2" t="n">
        <v>0.1</v>
      </c>
      <c r="P289" s="2" t="n">
        <v>620.39</v>
      </c>
      <c r="Q289" s="2" t="n">
        <v>20.82</v>
      </c>
      <c r="R289" s="2" t="s">
        <v>133</v>
      </c>
      <c r="S289" s="2" t="s">
        <v>73</v>
      </c>
    </row>
    <row r="290" customFormat="false" ht="15" hidden="false" customHeight="false" outlineLevel="0" collapsed="false">
      <c r="A290" s="2" t="s">
        <v>1905</v>
      </c>
      <c r="B290" s="2" t="s">
        <v>1906</v>
      </c>
      <c r="C290" s="2" t="s">
        <v>1907</v>
      </c>
      <c r="D290" s="2" t="s">
        <v>1908</v>
      </c>
      <c r="E290" s="2" t="s">
        <v>1909</v>
      </c>
      <c r="F290" s="2" t="s">
        <v>196</v>
      </c>
      <c r="G290" s="2" t="s">
        <v>197</v>
      </c>
      <c r="H290" s="2" t="s">
        <v>198</v>
      </c>
      <c r="I290" s="2" t="s">
        <v>106</v>
      </c>
      <c r="J290" s="2" t="s">
        <v>43</v>
      </c>
      <c r="K290" s="2" t="s">
        <v>277</v>
      </c>
      <c r="L290" s="2" t="s">
        <v>613</v>
      </c>
      <c r="M290" s="2" t="s">
        <v>1910</v>
      </c>
      <c r="N290" s="2" t="n">
        <v>12</v>
      </c>
      <c r="O290" s="2" t="n">
        <v>0</v>
      </c>
      <c r="P290" s="2" t="n">
        <v>902.28</v>
      </c>
      <c r="Q290" s="2" t="n">
        <v>53.93</v>
      </c>
      <c r="R290" s="2" t="s">
        <v>32</v>
      </c>
      <c r="S290" s="2" t="s">
        <v>110</v>
      </c>
    </row>
    <row r="291" customFormat="false" ht="15" hidden="false" customHeight="false" outlineLevel="0" collapsed="false">
      <c r="A291" s="2" t="s">
        <v>1911</v>
      </c>
      <c r="B291" s="2" t="s">
        <v>1912</v>
      </c>
      <c r="C291" s="2" t="s">
        <v>1913</v>
      </c>
      <c r="D291" s="2" t="s">
        <v>1914</v>
      </c>
      <c r="E291" s="2" t="s">
        <v>1915</v>
      </c>
      <c r="F291" s="2" t="s">
        <v>39</v>
      </c>
      <c r="G291" s="2" t="s">
        <v>52</v>
      </c>
      <c r="H291" s="2" t="s">
        <v>53</v>
      </c>
      <c r="I291" s="2" t="s">
        <v>54</v>
      </c>
      <c r="J291" s="2" t="s">
        <v>93</v>
      </c>
      <c r="K291" s="2" t="s">
        <v>388</v>
      </c>
      <c r="L291" s="2" t="s">
        <v>465</v>
      </c>
      <c r="M291" s="2" t="s">
        <v>1916</v>
      </c>
      <c r="N291" s="2" t="n">
        <v>12</v>
      </c>
      <c r="O291" s="2" t="n">
        <v>0</v>
      </c>
      <c r="P291" s="2" t="n">
        <v>172.02</v>
      </c>
      <c r="Q291" s="2" t="n">
        <v>34.56</v>
      </c>
      <c r="R291" s="2" t="s">
        <v>440</v>
      </c>
      <c r="S291" s="2" t="s">
        <v>73</v>
      </c>
    </row>
    <row r="292" customFormat="false" ht="15" hidden="false" customHeight="false" outlineLevel="0" collapsed="false">
      <c r="A292" s="2" t="s">
        <v>1917</v>
      </c>
      <c r="B292" s="2" t="s">
        <v>1918</v>
      </c>
      <c r="C292" s="2" t="s">
        <v>1919</v>
      </c>
      <c r="D292" s="2" t="s">
        <v>1920</v>
      </c>
      <c r="E292" s="2" t="s">
        <v>1921</v>
      </c>
      <c r="F292" s="2" t="s">
        <v>103</v>
      </c>
      <c r="G292" s="2" t="s">
        <v>322</v>
      </c>
      <c r="H292" s="2" t="s">
        <v>117</v>
      </c>
      <c r="I292" s="2" t="s">
        <v>27</v>
      </c>
      <c r="J292" s="2" t="s">
        <v>55</v>
      </c>
      <c r="K292" s="2" t="s">
        <v>44</v>
      </c>
      <c r="L292" s="2" t="s">
        <v>351</v>
      </c>
      <c r="M292" s="2" t="s">
        <v>1922</v>
      </c>
      <c r="N292" s="2" t="n">
        <v>6</v>
      </c>
      <c r="O292" s="2" t="n">
        <v>0</v>
      </c>
      <c r="P292" s="2" t="n">
        <v>396.48</v>
      </c>
      <c r="Q292" s="2" t="n">
        <v>31.83</v>
      </c>
      <c r="R292" s="2" t="s">
        <v>121</v>
      </c>
      <c r="S292" s="2" t="s">
        <v>73</v>
      </c>
    </row>
    <row r="293" customFormat="false" ht="15" hidden="false" customHeight="false" outlineLevel="0" collapsed="false">
      <c r="A293" s="2" t="s">
        <v>1923</v>
      </c>
      <c r="B293" s="2" t="s">
        <v>1924</v>
      </c>
      <c r="C293" s="2" t="s">
        <v>1925</v>
      </c>
      <c r="D293" s="2" t="s">
        <v>1926</v>
      </c>
      <c r="E293" s="2" t="s">
        <v>1927</v>
      </c>
      <c r="F293" s="2" t="s">
        <v>179</v>
      </c>
      <c r="G293" s="2" t="s">
        <v>683</v>
      </c>
      <c r="H293" s="2" t="s">
        <v>612</v>
      </c>
      <c r="I293" s="2" t="s">
        <v>106</v>
      </c>
      <c r="J293" s="2" t="s">
        <v>43</v>
      </c>
      <c r="K293" s="2" t="s">
        <v>277</v>
      </c>
      <c r="L293" s="2" t="s">
        <v>278</v>
      </c>
      <c r="M293" s="2" t="s">
        <v>1928</v>
      </c>
      <c r="N293" s="2" t="n">
        <v>1</v>
      </c>
      <c r="O293" s="2" t="n">
        <v>0.2</v>
      </c>
      <c r="P293" s="2" t="n">
        <v>9.37</v>
      </c>
      <c r="Q293" s="2" t="n">
        <v>7.59</v>
      </c>
      <c r="R293" s="2" t="s">
        <v>181</v>
      </c>
      <c r="S293" s="2" t="s">
        <v>60</v>
      </c>
    </row>
    <row r="294" customFormat="false" ht="15" hidden="false" customHeight="false" outlineLevel="0" collapsed="false">
      <c r="A294" s="2" t="s">
        <v>1929</v>
      </c>
      <c r="B294" s="2" t="s">
        <v>566</v>
      </c>
      <c r="C294" s="2" t="s">
        <v>1930</v>
      </c>
      <c r="D294" s="2" t="s">
        <v>1931</v>
      </c>
      <c r="E294" s="2" t="s">
        <v>1932</v>
      </c>
      <c r="F294" s="2" t="s">
        <v>39</v>
      </c>
      <c r="G294" s="2" t="s">
        <v>80</v>
      </c>
      <c r="H294" s="2" t="s">
        <v>81</v>
      </c>
      <c r="I294" s="2" t="s">
        <v>42</v>
      </c>
      <c r="J294" s="2" t="s">
        <v>562</v>
      </c>
      <c r="K294" s="2" t="s">
        <v>83</v>
      </c>
      <c r="L294" s="2" t="s">
        <v>431</v>
      </c>
      <c r="M294" s="2" t="s">
        <v>1933</v>
      </c>
      <c r="N294" s="2" t="n">
        <v>8</v>
      </c>
      <c r="O294" s="2" t="n">
        <v>0.5</v>
      </c>
      <c r="P294" s="2" t="n">
        <v>-614.53</v>
      </c>
      <c r="Q294" s="2" t="n">
        <v>20.8</v>
      </c>
      <c r="R294" s="2" t="s">
        <v>72</v>
      </c>
      <c r="S294" s="2" t="s">
        <v>33</v>
      </c>
    </row>
    <row r="295" customFormat="false" ht="15" hidden="false" customHeight="false" outlineLevel="0" collapsed="false">
      <c r="A295" s="2" t="s">
        <v>1934</v>
      </c>
      <c r="B295" s="2" t="s">
        <v>1492</v>
      </c>
      <c r="C295" s="2" t="s">
        <v>1935</v>
      </c>
      <c r="D295" s="2" t="s">
        <v>1936</v>
      </c>
      <c r="E295" s="2" t="s">
        <v>1937</v>
      </c>
      <c r="F295" s="2" t="s">
        <v>66</v>
      </c>
      <c r="G295" s="2" t="s">
        <v>1100</v>
      </c>
      <c r="H295" s="2" t="s">
        <v>41</v>
      </c>
      <c r="I295" s="2" t="s">
        <v>42</v>
      </c>
      <c r="J295" s="2" t="s">
        <v>387</v>
      </c>
      <c r="K295" s="2" t="s">
        <v>130</v>
      </c>
      <c r="L295" s="2" t="s">
        <v>604</v>
      </c>
      <c r="M295" s="2" t="s">
        <v>1938</v>
      </c>
      <c r="N295" s="2" t="n">
        <v>3</v>
      </c>
      <c r="O295" s="2" t="n">
        <v>0</v>
      </c>
      <c r="P295" s="2" t="n">
        <v>2.93</v>
      </c>
      <c r="Q295" s="2" t="n">
        <v>58.48</v>
      </c>
      <c r="R295" s="2" t="s">
        <v>32</v>
      </c>
      <c r="S295" s="2" t="s">
        <v>110</v>
      </c>
    </row>
    <row r="296" customFormat="false" ht="15" hidden="false" customHeight="false" outlineLevel="0" collapsed="false">
      <c r="A296" s="2" t="s">
        <v>1939</v>
      </c>
      <c r="B296" s="2" t="s">
        <v>1940</v>
      </c>
      <c r="C296" s="2" t="s">
        <v>1410</v>
      </c>
      <c r="D296" s="2" t="s">
        <v>1941</v>
      </c>
      <c r="E296" s="2" t="s">
        <v>1942</v>
      </c>
      <c r="F296" s="2" t="s">
        <v>594</v>
      </c>
      <c r="G296" s="2" t="s">
        <v>1943</v>
      </c>
      <c r="H296" s="2" t="s">
        <v>151</v>
      </c>
      <c r="I296" s="2" t="s">
        <v>27</v>
      </c>
      <c r="J296" s="2" t="s">
        <v>343</v>
      </c>
      <c r="K296" s="2" t="s">
        <v>234</v>
      </c>
      <c r="L296" s="2" t="s">
        <v>495</v>
      </c>
      <c r="M296" s="2" t="s">
        <v>1944</v>
      </c>
      <c r="N296" s="2" t="n">
        <v>8</v>
      </c>
      <c r="O296" s="2" t="n">
        <v>0</v>
      </c>
      <c r="P296" s="2" t="n">
        <v>330.03</v>
      </c>
      <c r="Q296" s="2" t="n">
        <v>57.42</v>
      </c>
      <c r="R296" s="2" t="s">
        <v>162</v>
      </c>
      <c r="S296" s="2" t="s">
        <v>110</v>
      </c>
    </row>
    <row r="297" customFormat="false" ht="15" hidden="false" customHeight="false" outlineLevel="0" collapsed="false">
      <c r="A297" s="2" t="s">
        <v>1945</v>
      </c>
      <c r="B297" s="2" t="s">
        <v>1946</v>
      </c>
      <c r="C297" s="2" t="s">
        <v>1947</v>
      </c>
      <c r="D297" s="2" t="s">
        <v>1948</v>
      </c>
      <c r="E297" s="2" t="s">
        <v>1949</v>
      </c>
      <c r="F297" s="2" t="s">
        <v>39</v>
      </c>
      <c r="G297" s="2" t="s">
        <v>850</v>
      </c>
      <c r="H297" s="2" t="s">
        <v>128</v>
      </c>
      <c r="I297" s="2" t="s">
        <v>42</v>
      </c>
      <c r="J297" s="2" t="s">
        <v>93</v>
      </c>
      <c r="K297" s="2" t="s">
        <v>199</v>
      </c>
      <c r="L297" s="2" t="s">
        <v>789</v>
      </c>
      <c r="M297" s="2" t="s">
        <v>1950</v>
      </c>
      <c r="N297" s="2" t="n">
        <v>1</v>
      </c>
      <c r="O297" s="2" t="n">
        <v>0.15</v>
      </c>
      <c r="P297" s="2" t="n">
        <v>4.14</v>
      </c>
      <c r="Q297" s="2" t="n">
        <v>50.28</v>
      </c>
      <c r="R297" s="2" t="s">
        <v>190</v>
      </c>
      <c r="S297" s="2" t="s">
        <v>60</v>
      </c>
    </row>
    <row r="298" customFormat="false" ht="15" hidden="false" customHeight="false" outlineLevel="0" collapsed="false">
      <c r="A298" s="2" t="s">
        <v>1951</v>
      </c>
      <c r="B298" s="2" t="s">
        <v>1952</v>
      </c>
      <c r="C298" s="2" t="s">
        <v>1953</v>
      </c>
      <c r="D298" s="2" t="s">
        <v>1954</v>
      </c>
      <c r="E298" s="2" t="s">
        <v>1955</v>
      </c>
      <c r="F298" s="2" t="s">
        <v>66</v>
      </c>
      <c r="G298" s="2" t="s">
        <v>1075</v>
      </c>
      <c r="H298" s="2" t="s">
        <v>225</v>
      </c>
      <c r="I298" s="2" t="s">
        <v>42</v>
      </c>
      <c r="J298" s="2" t="s">
        <v>55</v>
      </c>
      <c r="K298" s="2" t="s">
        <v>69</v>
      </c>
      <c r="L298" s="2" t="s">
        <v>70</v>
      </c>
      <c r="M298" s="2" t="s">
        <v>1956</v>
      </c>
      <c r="N298" s="2" t="n">
        <v>4</v>
      </c>
      <c r="O298" s="2" t="n">
        <v>0</v>
      </c>
      <c r="P298" s="2" t="n">
        <v>184.08</v>
      </c>
      <c r="Q298" s="2" t="n">
        <v>53.17</v>
      </c>
      <c r="R298" s="2" t="s">
        <v>86</v>
      </c>
      <c r="S298" s="2" t="s">
        <v>33</v>
      </c>
    </row>
    <row r="299" customFormat="false" ht="15" hidden="false" customHeight="false" outlineLevel="0" collapsed="false">
      <c r="A299" s="2" t="s">
        <v>1957</v>
      </c>
      <c r="B299" s="2" t="s">
        <v>1065</v>
      </c>
      <c r="C299" s="2" t="s">
        <v>1958</v>
      </c>
      <c r="D299" s="2" t="s">
        <v>1959</v>
      </c>
      <c r="E299" s="2" t="s">
        <v>1960</v>
      </c>
      <c r="F299" s="2" t="s">
        <v>39</v>
      </c>
      <c r="G299" s="2" t="s">
        <v>1523</v>
      </c>
      <c r="H299" s="2" t="s">
        <v>117</v>
      </c>
      <c r="I299" s="2" t="s">
        <v>27</v>
      </c>
      <c r="J299" s="2" t="s">
        <v>387</v>
      </c>
      <c r="K299" s="2" t="s">
        <v>94</v>
      </c>
      <c r="L299" s="2" t="s">
        <v>95</v>
      </c>
      <c r="M299" s="2" t="s">
        <v>1961</v>
      </c>
      <c r="N299" s="2" t="n">
        <v>5</v>
      </c>
      <c r="O299" s="2" t="n">
        <v>0</v>
      </c>
      <c r="P299" s="2" t="n">
        <v>29.35</v>
      </c>
      <c r="Q299" s="2" t="n">
        <v>16.23</v>
      </c>
      <c r="R299" s="2" t="s">
        <v>72</v>
      </c>
      <c r="S299" s="2" t="s">
        <v>60</v>
      </c>
    </row>
    <row r="300" customFormat="false" ht="15" hidden="false" customHeight="false" outlineLevel="0" collapsed="false">
      <c r="A300" s="2" t="s">
        <v>1962</v>
      </c>
      <c r="B300" s="2" t="s">
        <v>1963</v>
      </c>
      <c r="C300" s="2" t="s">
        <v>1964</v>
      </c>
      <c r="D300" s="2" t="s">
        <v>1965</v>
      </c>
      <c r="E300" s="2" t="s">
        <v>1966</v>
      </c>
      <c r="F300" s="2" t="s">
        <v>594</v>
      </c>
      <c r="G300" s="2" t="s">
        <v>1885</v>
      </c>
      <c r="H300" s="2" t="s">
        <v>365</v>
      </c>
      <c r="I300" s="2" t="s">
        <v>106</v>
      </c>
      <c r="J300" s="2" t="s">
        <v>82</v>
      </c>
      <c r="K300" s="2" t="s">
        <v>29</v>
      </c>
      <c r="L300" s="2" t="s">
        <v>30</v>
      </c>
      <c r="M300" s="2" t="s">
        <v>1967</v>
      </c>
      <c r="N300" s="2" t="n">
        <v>6</v>
      </c>
      <c r="O300" s="2" t="n">
        <v>0.15</v>
      </c>
      <c r="P300" s="2" t="n">
        <v>142.95</v>
      </c>
      <c r="Q300" s="2" t="n">
        <v>43.85</v>
      </c>
      <c r="R300" s="2" t="s">
        <v>162</v>
      </c>
      <c r="S300" s="2" t="s">
        <v>33</v>
      </c>
    </row>
    <row r="301" customFormat="false" ht="15" hidden="false" customHeight="false" outlineLevel="0" collapsed="false">
      <c r="A301" s="2" t="s">
        <v>1968</v>
      </c>
      <c r="B301" s="2" t="s">
        <v>1969</v>
      </c>
      <c r="C301" s="2" t="s">
        <v>1970</v>
      </c>
      <c r="D301" s="2" t="s">
        <v>1971</v>
      </c>
      <c r="E301" s="2" t="s">
        <v>1972</v>
      </c>
      <c r="F301" s="2" t="s">
        <v>179</v>
      </c>
      <c r="G301" s="2" t="s">
        <v>285</v>
      </c>
      <c r="H301" s="2" t="s">
        <v>286</v>
      </c>
      <c r="I301" s="2" t="s">
        <v>54</v>
      </c>
      <c r="J301" s="2" t="s">
        <v>82</v>
      </c>
      <c r="K301" s="2" t="s">
        <v>118</v>
      </c>
      <c r="L301" s="2" t="s">
        <v>119</v>
      </c>
      <c r="M301" s="2" t="s">
        <v>1973</v>
      </c>
      <c r="N301" s="2" t="n">
        <v>10</v>
      </c>
      <c r="O301" s="2" t="n">
        <v>0</v>
      </c>
      <c r="P301" s="2" t="n">
        <v>688.27</v>
      </c>
      <c r="Q301" s="2" t="n">
        <v>30.65</v>
      </c>
      <c r="R301" s="2" t="s">
        <v>190</v>
      </c>
      <c r="S301" s="2" t="s">
        <v>73</v>
      </c>
    </row>
    <row r="302" customFormat="false" ht="15" hidden="false" customHeight="false" outlineLevel="0" collapsed="false">
      <c r="A302" s="2" t="s">
        <v>1974</v>
      </c>
      <c r="B302" s="2" t="s">
        <v>1975</v>
      </c>
      <c r="C302" s="2" t="s">
        <v>1976</v>
      </c>
      <c r="D302" s="2" t="s">
        <v>1977</v>
      </c>
      <c r="E302" s="2" t="s">
        <v>1978</v>
      </c>
      <c r="F302" s="2" t="s">
        <v>39</v>
      </c>
      <c r="G302" s="2" t="s">
        <v>457</v>
      </c>
      <c r="H302" s="2" t="s">
        <v>151</v>
      </c>
      <c r="I302" s="2" t="s">
        <v>27</v>
      </c>
      <c r="J302" s="2" t="s">
        <v>28</v>
      </c>
      <c r="K302" s="2" t="s">
        <v>29</v>
      </c>
      <c r="L302" s="2" t="s">
        <v>374</v>
      </c>
      <c r="M302" s="2" t="s">
        <v>1979</v>
      </c>
      <c r="N302" s="2" t="n">
        <v>10</v>
      </c>
      <c r="O302" s="2" t="n">
        <v>0.4</v>
      </c>
      <c r="P302" s="2" t="n">
        <v>20.86</v>
      </c>
      <c r="Q302" s="2" t="n">
        <v>51.89</v>
      </c>
      <c r="R302" s="2" t="s">
        <v>59</v>
      </c>
      <c r="S302" s="2"/>
    </row>
    <row r="303" customFormat="false" ht="15" hidden="false" customHeight="false" outlineLevel="0" collapsed="false">
      <c r="A303" s="2" t="s">
        <v>1980</v>
      </c>
      <c r="B303" s="2" t="s">
        <v>1981</v>
      </c>
      <c r="C303" s="2" t="s">
        <v>1982</v>
      </c>
      <c r="D303" s="2" t="s">
        <v>1983</v>
      </c>
      <c r="E303" s="2" t="s">
        <v>1984</v>
      </c>
      <c r="F303" s="2" t="s">
        <v>39</v>
      </c>
      <c r="G303" s="2" t="s">
        <v>1173</v>
      </c>
      <c r="H303" s="2" t="s">
        <v>169</v>
      </c>
      <c r="I303" s="2" t="s">
        <v>106</v>
      </c>
      <c r="J303" s="2" t="s">
        <v>82</v>
      </c>
      <c r="K303" s="2" t="s">
        <v>29</v>
      </c>
      <c r="L303" s="2" t="s">
        <v>30</v>
      </c>
      <c r="M303" s="2" t="s">
        <v>1985</v>
      </c>
      <c r="N303" s="2" t="n">
        <v>5</v>
      </c>
      <c r="O303" s="2" t="n">
        <v>0.2</v>
      </c>
      <c r="P303" s="2" t="n">
        <v>77.08</v>
      </c>
      <c r="Q303" s="2" t="n">
        <v>15.48</v>
      </c>
      <c r="R303" s="2" t="s">
        <v>324</v>
      </c>
      <c r="S303" s="2"/>
    </row>
    <row r="304" customFormat="false" ht="15" hidden="false" customHeight="false" outlineLevel="0" collapsed="false">
      <c r="A304" s="2" t="s">
        <v>1986</v>
      </c>
      <c r="B304" s="2" t="s">
        <v>1219</v>
      </c>
      <c r="C304" s="2" t="s">
        <v>1987</v>
      </c>
      <c r="D304" s="2" t="s">
        <v>1988</v>
      </c>
      <c r="E304" s="2" t="s">
        <v>1989</v>
      </c>
      <c r="F304" s="2" t="s">
        <v>1412</v>
      </c>
      <c r="G304" s="2" t="s">
        <v>450</v>
      </c>
      <c r="H304" s="2" t="s">
        <v>259</v>
      </c>
      <c r="I304" s="2" t="s">
        <v>106</v>
      </c>
      <c r="J304" s="2" t="s">
        <v>244</v>
      </c>
      <c r="K304" s="2" t="s">
        <v>69</v>
      </c>
      <c r="L304" s="2" t="s">
        <v>417</v>
      </c>
      <c r="M304" s="2" t="s">
        <v>1990</v>
      </c>
      <c r="N304" s="2" t="n">
        <v>10</v>
      </c>
      <c r="O304" s="2" t="n">
        <v>0.5</v>
      </c>
      <c r="P304" s="2" t="n">
        <v>-805.35</v>
      </c>
      <c r="Q304" s="2" t="n">
        <v>18.74</v>
      </c>
      <c r="R304" s="2" t="s">
        <v>121</v>
      </c>
      <c r="S304" s="2" t="s">
        <v>110</v>
      </c>
    </row>
    <row r="305" customFormat="false" ht="15" hidden="false" customHeight="false" outlineLevel="0" collapsed="false">
      <c r="A305" s="2" t="s">
        <v>1991</v>
      </c>
      <c r="B305" s="2" t="s">
        <v>1763</v>
      </c>
      <c r="C305" s="2" t="s">
        <v>1992</v>
      </c>
      <c r="D305" s="2" t="s">
        <v>1993</v>
      </c>
      <c r="E305" s="2" t="s">
        <v>1994</v>
      </c>
      <c r="F305" s="2" t="s">
        <v>66</v>
      </c>
      <c r="G305" s="2" t="s">
        <v>159</v>
      </c>
      <c r="H305" s="2" t="s">
        <v>160</v>
      </c>
      <c r="I305" s="2" t="s">
        <v>27</v>
      </c>
      <c r="J305" s="2" t="s">
        <v>55</v>
      </c>
      <c r="K305" s="2" t="s">
        <v>69</v>
      </c>
      <c r="L305" s="2" t="s">
        <v>417</v>
      </c>
      <c r="M305" s="2" t="s">
        <v>1995</v>
      </c>
      <c r="N305" s="2" t="n">
        <v>9</v>
      </c>
      <c r="O305" s="2" t="n">
        <v>0.5</v>
      </c>
      <c r="P305" s="2" t="n">
        <v>-74.78</v>
      </c>
      <c r="Q305" s="2" t="n">
        <v>11.93</v>
      </c>
      <c r="R305" s="2" t="s">
        <v>86</v>
      </c>
      <c r="S305" s="2" t="s">
        <v>33</v>
      </c>
    </row>
    <row r="306" customFormat="false" ht="15" hidden="false" customHeight="false" outlineLevel="0" collapsed="false">
      <c r="A306" s="2" t="s">
        <v>1996</v>
      </c>
      <c r="B306" s="2" t="s">
        <v>1997</v>
      </c>
      <c r="C306" s="2" t="s">
        <v>1998</v>
      </c>
      <c r="D306" s="2" t="s">
        <v>1999</v>
      </c>
      <c r="E306" s="2" t="s">
        <v>2000</v>
      </c>
      <c r="F306" s="2" t="s">
        <v>594</v>
      </c>
      <c r="G306" s="2" t="s">
        <v>104</v>
      </c>
      <c r="H306" s="2" t="s">
        <v>105</v>
      </c>
      <c r="I306" s="2" t="s">
        <v>106</v>
      </c>
      <c r="J306" s="2" t="s">
        <v>82</v>
      </c>
      <c r="K306" s="2" t="s">
        <v>29</v>
      </c>
      <c r="L306" s="2" t="s">
        <v>30</v>
      </c>
      <c r="M306" s="2" t="s">
        <v>2001</v>
      </c>
      <c r="N306" s="2" t="n">
        <v>6</v>
      </c>
      <c r="O306" s="2" t="n">
        <v>0</v>
      </c>
      <c r="P306" s="2" t="n">
        <v>267.89</v>
      </c>
      <c r="Q306" s="2" t="n">
        <v>6.61</v>
      </c>
      <c r="R306" s="2" t="s">
        <v>86</v>
      </c>
      <c r="S306" s="2" t="s">
        <v>110</v>
      </c>
    </row>
    <row r="307" customFormat="false" ht="15" hidden="false" customHeight="false" outlineLevel="0" collapsed="false">
      <c r="A307" s="2" t="s">
        <v>2002</v>
      </c>
      <c r="B307" s="2" t="s">
        <v>2003</v>
      </c>
      <c r="C307" s="2" t="s">
        <v>2004</v>
      </c>
      <c r="D307" s="2" t="s">
        <v>2005</v>
      </c>
      <c r="E307" s="2" t="s">
        <v>2006</v>
      </c>
      <c r="F307" s="2" t="s">
        <v>66</v>
      </c>
      <c r="G307" s="2" t="s">
        <v>2007</v>
      </c>
      <c r="H307" s="2" t="s">
        <v>169</v>
      </c>
      <c r="I307" s="2" t="s">
        <v>106</v>
      </c>
      <c r="J307" s="2" t="s">
        <v>129</v>
      </c>
      <c r="K307" s="2" t="s">
        <v>199</v>
      </c>
      <c r="L307" s="2" t="s">
        <v>851</v>
      </c>
      <c r="M307" s="2" t="s">
        <v>2008</v>
      </c>
      <c r="N307" s="2" t="n">
        <v>5</v>
      </c>
      <c r="O307" s="2" t="n">
        <v>0.1</v>
      </c>
      <c r="P307" s="2" t="n">
        <v>3.21</v>
      </c>
      <c r="Q307" s="2" t="n">
        <v>48.37</v>
      </c>
      <c r="R307" s="2" t="s">
        <v>133</v>
      </c>
      <c r="S307" s="2" t="s">
        <v>33</v>
      </c>
    </row>
    <row r="308" customFormat="false" ht="15" hidden="false" customHeight="false" outlineLevel="0" collapsed="false">
      <c r="A308" s="2" t="s">
        <v>2009</v>
      </c>
      <c r="B308" s="2" t="s">
        <v>2010</v>
      </c>
      <c r="C308" s="2" t="s">
        <v>2011</v>
      </c>
      <c r="D308" s="2" t="s">
        <v>1087</v>
      </c>
      <c r="E308" s="2" t="s">
        <v>1088</v>
      </c>
      <c r="F308" s="2" t="s">
        <v>103</v>
      </c>
      <c r="G308" s="2" t="s">
        <v>508</v>
      </c>
      <c r="H308" s="2" t="s">
        <v>480</v>
      </c>
      <c r="I308" s="2" t="s">
        <v>54</v>
      </c>
      <c r="J308" s="2" t="s">
        <v>43</v>
      </c>
      <c r="K308" s="2" t="s">
        <v>44</v>
      </c>
      <c r="L308" s="2" t="s">
        <v>596</v>
      </c>
      <c r="M308" s="2" t="s">
        <v>2012</v>
      </c>
      <c r="N308" s="2" t="n">
        <v>3</v>
      </c>
      <c r="O308" s="2" t="n">
        <v>0</v>
      </c>
      <c r="P308" s="2" t="n">
        <v>97.52</v>
      </c>
      <c r="Q308" s="2" t="n">
        <v>23.77</v>
      </c>
      <c r="R308" s="2" t="s">
        <v>72</v>
      </c>
      <c r="S308" s="2" t="s">
        <v>33</v>
      </c>
    </row>
    <row r="309" customFormat="false" ht="15" hidden="false" customHeight="false" outlineLevel="0" collapsed="false">
      <c r="A309" s="2" t="s">
        <v>2013</v>
      </c>
      <c r="B309" s="2" t="s">
        <v>2014</v>
      </c>
      <c r="C309" s="2" t="s">
        <v>2015</v>
      </c>
      <c r="D309" s="2" t="s">
        <v>2016</v>
      </c>
      <c r="E309" s="2" t="s">
        <v>2017</v>
      </c>
      <c r="F309" s="2" t="s">
        <v>24</v>
      </c>
      <c r="G309" s="2" t="s">
        <v>595</v>
      </c>
      <c r="H309" s="2" t="s">
        <v>140</v>
      </c>
      <c r="I309" s="2" t="s">
        <v>54</v>
      </c>
      <c r="J309" s="2" t="s">
        <v>55</v>
      </c>
      <c r="K309" s="2" t="s">
        <v>44</v>
      </c>
      <c r="L309" s="2" t="s">
        <v>300</v>
      </c>
      <c r="M309" s="2" t="s">
        <v>2018</v>
      </c>
      <c r="N309" s="2" t="n">
        <v>8</v>
      </c>
      <c r="O309" s="2" t="n">
        <v>0</v>
      </c>
      <c r="P309" s="2" t="n">
        <v>156.91</v>
      </c>
      <c r="Q309" s="2" t="n">
        <v>2.35</v>
      </c>
      <c r="R309" s="2" t="s">
        <v>32</v>
      </c>
      <c r="S309" s="2" t="s">
        <v>110</v>
      </c>
    </row>
    <row r="310" customFormat="false" ht="15" hidden="false" customHeight="false" outlineLevel="0" collapsed="false">
      <c r="A310" s="2" t="s">
        <v>2019</v>
      </c>
      <c r="B310" s="2" t="s">
        <v>898</v>
      </c>
      <c r="C310" s="2" t="s">
        <v>2020</v>
      </c>
      <c r="D310" s="2" t="s">
        <v>2021</v>
      </c>
      <c r="E310" s="2" t="s">
        <v>2022</v>
      </c>
      <c r="F310" s="2" t="s">
        <v>39</v>
      </c>
      <c r="G310" s="2" t="s">
        <v>1359</v>
      </c>
      <c r="H310" s="2" t="s">
        <v>209</v>
      </c>
      <c r="I310" s="2" t="s">
        <v>27</v>
      </c>
      <c r="J310" s="2" t="s">
        <v>82</v>
      </c>
      <c r="K310" s="2" t="s">
        <v>29</v>
      </c>
      <c r="L310" s="2" t="s">
        <v>30</v>
      </c>
      <c r="M310" s="2" t="s">
        <v>2023</v>
      </c>
      <c r="N310" s="2" t="n">
        <v>4</v>
      </c>
      <c r="O310" s="2" t="n">
        <v>0.2</v>
      </c>
      <c r="P310" s="2" t="n">
        <v>432.86</v>
      </c>
      <c r="Q310" s="2" t="n">
        <v>44.03</v>
      </c>
      <c r="R310" s="2" t="s">
        <v>121</v>
      </c>
      <c r="S310" s="2" t="s">
        <v>33</v>
      </c>
    </row>
    <row r="311" customFormat="false" ht="15" hidden="false" customHeight="false" outlineLevel="0" collapsed="false">
      <c r="A311" s="2" t="s">
        <v>2024</v>
      </c>
      <c r="B311" s="2" t="s">
        <v>2025</v>
      </c>
      <c r="C311" s="2" t="s">
        <v>2026</v>
      </c>
      <c r="D311" s="2" t="s">
        <v>2027</v>
      </c>
      <c r="E311" s="2"/>
      <c r="F311" s="2" t="s">
        <v>103</v>
      </c>
      <c r="G311" s="2" t="s">
        <v>438</v>
      </c>
      <c r="H311" s="2" t="s">
        <v>286</v>
      </c>
      <c r="I311" s="2" t="s">
        <v>54</v>
      </c>
      <c r="J311" s="2" t="s">
        <v>55</v>
      </c>
      <c r="K311" s="2" t="s">
        <v>56</v>
      </c>
      <c r="L311" s="2" t="s">
        <v>307</v>
      </c>
      <c r="M311" s="2" t="s">
        <v>2028</v>
      </c>
      <c r="N311" s="2" t="n">
        <v>12</v>
      </c>
      <c r="O311" s="2" t="n">
        <v>0</v>
      </c>
      <c r="P311" s="2" t="n">
        <v>326.89</v>
      </c>
      <c r="Q311" s="2" t="n">
        <v>4.1</v>
      </c>
      <c r="R311" s="2" t="s">
        <v>72</v>
      </c>
      <c r="S311" s="2" t="s">
        <v>73</v>
      </c>
    </row>
    <row r="312" customFormat="false" ht="15" hidden="false" customHeight="false" outlineLevel="0" collapsed="false">
      <c r="A312" s="2" t="s">
        <v>2029</v>
      </c>
      <c r="B312" s="2" t="s">
        <v>1018</v>
      </c>
      <c r="C312" s="2" t="s">
        <v>2030</v>
      </c>
      <c r="D312" s="2" t="s">
        <v>2031</v>
      </c>
      <c r="E312" s="2" t="s">
        <v>2032</v>
      </c>
      <c r="F312" s="2" t="s">
        <v>24</v>
      </c>
      <c r="G312" s="2"/>
      <c r="H312" s="2" t="s">
        <v>243</v>
      </c>
      <c r="I312" s="2" t="s">
        <v>54</v>
      </c>
      <c r="J312" s="2" t="s">
        <v>93</v>
      </c>
      <c r="K312" s="2" t="s">
        <v>170</v>
      </c>
      <c r="L312" s="2" t="s">
        <v>171</v>
      </c>
      <c r="M312" s="2" t="s">
        <v>2033</v>
      </c>
      <c r="N312" s="2" t="n">
        <v>10</v>
      </c>
      <c r="O312" s="2" t="n">
        <v>0</v>
      </c>
      <c r="P312" s="2" t="n">
        <v>15.68</v>
      </c>
      <c r="Q312" s="2" t="n">
        <v>37.32</v>
      </c>
      <c r="R312" s="2" t="s">
        <v>86</v>
      </c>
      <c r="S312" s="2" t="s">
        <v>110</v>
      </c>
    </row>
    <row r="313" customFormat="false" ht="15" hidden="false" customHeight="false" outlineLevel="0" collapsed="false">
      <c r="A313" s="2" t="s">
        <v>2034</v>
      </c>
      <c r="B313" s="2" t="s">
        <v>2035</v>
      </c>
      <c r="C313" s="2" t="s">
        <v>2036</v>
      </c>
      <c r="D313" s="2" t="s">
        <v>541</v>
      </c>
      <c r="E313" s="2" t="s">
        <v>542</v>
      </c>
      <c r="F313" s="2" t="s">
        <v>66</v>
      </c>
      <c r="G313" s="2" t="s">
        <v>2037</v>
      </c>
      <c r="H313" s="2" t="s">
        <v>68</v>
      </c>
      <c r="I313" s="2" t="s">
        <v>42</v>
      </c>
      <c r="J313" s="2" t="s">
        <v>55</v>
      </c>
      <c r="K313" s="2" t="s">
        <v>44</v>
      </c>
      <c r="L313" s="2" t="s">
        <v>596</v>
      </c>
      <c r="M313" s="2" t="s">
        <v>2038</v>
      </c>
      <c r="N313" s="2" t="n">
        <v>12</v>
      </c>
      <c r="O313" s="2" t="n">
        <v>0</v>
      </c>
      <c r="P313" s="2" t="n">
        <v>1271.85</v>
      </c>
      <c r="Q313" s="2" t="n">
        <v>32.77</v>
      </c>
      <c r="R313" s="2" t="s">
        <v>72</v>
      </c>
      <c r="S313" s="2" t="s">
        <v>73</v>
      </c>
    </row>
    <row r="314" customFormat="false" ht="15" hidden="false" customHeight="false" outlineLevel="0" collapsed="false">
      <c r="A314" s="2" t="s">
        <v>2039</v>
      </c>
      <c r="B314" s="2" t="s">
        <v>2040</v>
      </c>
      <c r="C314" s="2" t="s">
        <v>2041</v>
      </c>
      <c r="D314" s="2" t="s">
        <v>385</v>
      </c>
      <c r="E314" s="2" t="s">
        <v>386</v>
      </c>
      <c r="F314" s="2" t="s">
        <v>196</v>
      </c>
      <c r="G314" s="2" t="s">
        <v>2042</v>
      </c>
      <c r="H314" s="2" t="s">
        <v>315</v>
      </c>
      <c r="I314" s="2" t="s">
        <v>54</v>
      </c>
      <c r="J314" s="2" t="s">
        <v>28</v>
      </c>
      <c r="K314" s="2" t="s">
        <v>29</v>
      </c>
      <c r="L314" s="2" t="s">
        <v>374</v>
      </c>
      <c r="M314" s="2" t="s">
        <v>2043</v>
      </c>
      <c r="N314" s="2" t="n">
        <v>1</v>
      </c>
      <c r="O314" s="2" t="n">
        <v>0</v>
      </c>
      <c r="P314" s="2" t="n">
        <v>18.69</v>
      </c>
      <c r="Q314" s="2" t="n">
        <v>48.94</v>
      </c>
      <c r="R314" s="2" t="s">
        <v>59</v>
      </c>
      <c r="S314" s="2" t="s">
        <v>73</v>
      </c>
    </row>
    <row r="315" customFormat="false" ht="15" hidden="false" customHeight="false" outlineLevel="0" collapsed="false">
      <c r="A315" s="2" t="s">
        <v>2044</v>
      </c>
      <c r="B315" s="2" t="s">
        <v>2045</v>
      </c>
      <c r="C315" s="2" t="s">
        <v>2046</v>
      </c>
      <c r="D315" s="2" t="s">
        <v>2047</v>
      </c>
      <c r="E315" s="2" t="s">
        <v>2048</v>
      </c>
      <c r="F315" s="2" t="s">
        <v>66</v>
      </c>
      <c r="G315" s="2" t="s">
        <v>2049</v>
      </c>
      <c r="H315" s="2" t="s">
        <v>140</v>
      </c>
      <c r="I315" s="2" t="s">
        <v>54</v>
      </c>
      <c r="J315" s="2" t="s">
        <v>55</v>
      </c>
      <c r="K315" s="2" t="s">
        <v>56</v>
      </c>
      <c r="L315" s="2" t="s">
        <v>57</v>
      </c>
      <c r="M315" s="2" t="s">
        <v>2050</v>
      </c>
      <c r="N315" s="2" t="n">
        <v>7</v>
      </c>
      <c r="O315" s="2" t="n">
        <v>0</v>
      </c>
      <c r="P315" s="2" t="n">
        <v>172.49</v>
      </c>
      <c r="Q315" s="2" t="n">
        <v>20.75</v>
      </c>
      <c r="R315" s="2" t="s">
        <v>162</v>
      </c>
      <c r="S315" s="2" t="s">
        <v>73</v>
      </c>
    </row>
    <row r="316" customFormat="false" ht="15" hidden="false" customHeight="false" outlineLevel="0" collapsed="false">
      <c r="A316" s="2" t="s">
        <v>2051</v>
      </c>
      <c r="B316" s="2" t="s">
        <v>2052</v>
      </c>
      <c r="C316" s="2" t="s">
        <v>2053</v>
      </c>
      <c r="D316" s="2" t="s">
        <v>2054</v>
      </c>
      <c r="E316" s="2" t="s">
        <v>2055</v>
      </c>
      <c r="F316" s="2" t="s">
        <v>66</v>
      </c>
      <c r="G316" s="2" t="s">
        <v>187</v>
      </c>
      <c r="H316" s="2" t="s">
        <v>151</v>
      </c>
      <c r="I316" s="2" t="s">
        <v>27</v>
      </c>
      <c r="J316" s="2" t="s">
        <v>82</v>
      </c>
      <c r="K316" s="2" t="s">
        <v>29</v>
      </c>
      <c r="L316" s="2" t="s">
        <v>30</v>
      </c>
      <c r="M316" s="2" t="s">
        <v>2056</v>
      </c>
      <c r="N316" s="2" t="n">
        <v>4</v>
      </c>
      <c r="O316" s="2" t="n">
        <v>0</v>
      </c>
      <c r="P316" s="2" t="n">
        <v>1254.15</v>
      </c>
      <c r="Q316" s="2" t="n">
        <v>10.41</v>
      </c>
      <c r="R316" s="2" t="s">
        <v>697</v>
      </c>
      <c r="S316" s="2" t="s">
        <v>33</v>
      </c>
    </row>
    <row r="317" customFormat="false" ht="15" hidden="false" customHeight="false" outlineLevel="0" collapsed="false">
      <c r="A317" s="2" t="s">
        <v>2057</v>
      </c>
      <c r="B317" s="2" t="s">
        <v>1624</v>
      </c>
      <c r="C317" s="2" t="s">
        <v>2058</v>
      </c>
      <c r="D317" s="2" t="s">
        <v>2059</v>
      </c>
      <c r="E317" s="2" t="s">
        <v>2060</v>
      </c>
      <c r="F317" s="2" t="s">
        <v>66</v>
      </c>
      <c r="G317" s="2" t="s">
        <v>2061</v>
      </c>
      <c r="H317" s="2" t="s">
        <v>315</v>
      </c>
      <c r="I317" s="2" t="s">
        <v>54</v>
      </c>
      <c r="J317" s="2" t="s">
        <v>129</v>
      </c>
      <c r="K317" s="2" t="s">
        <v>199</v>
      </c>
      <c r="L317" s="2" t="s">
        <v>789</v>
      </c>
      <c r="M317" s="2" t="s">
        <v>2062</v>
      </c>
      <c r="N317" s="2" t="n">
        <v>10</v>
      </c>
      <c r="O317" s="2" t="n">
        <v>0.2</v>
      </c>
      <c r="P317" s="2" t="n">
        <v>172.99</v>
      </c>
      <c r="Q317" s="2" t="n">
        <v>4.64</v>
      </c>
      <c r="R317" s="2" t="s">
        <v>72</v>
      </c>
      <c r="S317" s="2" t="s">
        <v>110</v>
      </c>
    </row>
    <row r="318" customFormat="false" ht="15" hidden="false" customHeight="false" outlineLevel="0" collapsed="false">
      <c r="A318" s="2" t="s">
        <v>2063</v>
      </c>
      <c r="B318" s="2" t="s">
        <v>2064</v>
      </c>
      <c r="C318" s="2" t="s">
        <v>2065</v>
      </c>
      <c r="D318" s="2" t="s">
        <v>2066</v>
      </c>
      <c r="E318" s="2" t="s">
        <v>2067</v>
      </c>
      <c r="F318" s="2" t="s">
        <v>149</v>
      </c>
      <c r="G318" s="2" t="s">
        <v>1359</v>
      </c>
      <c r="H318" s="2" t="s">
        <v>209</v>
      </c>
      <c r="I318" s="2" t="s">
        <v>27</v>
      </c>
      <c r="J318" s="2" t="s">
        <v>387</v>
      </c>
      <c r="K318" s="2" t="s">
        <v>141</v>
      </c>
      <c r="L318" s="2" t="s">
        <v>269</v>
      </c>
      <c r="M318" s="2" t="s">
        <v>2068</v>
      </c>
      <c r="N318" s="2" t="n">
        <v>12</v>
      </c>
      <c r="O318" s="2" t="n">
        <v>0</v>
      </c>
      <c r="P318" s="2" t="n">
        <v>28.04</v>
      </c>
      <c r="Q318" s="2" t="n">
        <v>30.55</v>
      </c>
      <c r="R318" s="2" t="s">
        <v>181</v>
      </c>
      <c r="S318" s="2" t="s">
        <v>33</v>
      </c>
    </row>
    <row r="319" customFormat="false" ht="15" hidden="false" customHeight="false" outlineLevel="0" collapsed="false">
      <c r="A319" s="2" t="s">
        <v>2069</v>
      </c>
      <c r="B319" s="2" t="s">
        <v>919</v>
      </c>
      <c r="C319" s="2" t="s">
        <v>2070</v>
      </c>
      <c r="D319" s="2" t="s">
        <v>2071</v>
      </c>
      <c r="E319" s="2" t="s">
        <v>2072</v>
      </c>
      <c r="F319" s="2" t="s">
        <v>594</v>
      </c>
      <c r="G319" s="2" t="s">
        <v>639</v>
      </c>
      <c r="H319" s="2" t="s">
        <v>365</v>
      </c>
      <c r="I319" s="2" t="s">
        <v>106</v>
      </c>
      <c r="J319" s="2" t="s">
        <v>129</v>
      </c>
      <c r="K319" s="2" t="s">
        <v>199</v>
      </c>
      <c r="L319" s="2" t="s">
        <v>851</v>
      </c>
      <c r="M319" s="2" t="s">
        <v>2073</v>
      </c>
      <c r="N319" s="2" t="n">
        <v>8</v>
      </c>
      <c r="O319" s="2" t="n">
        <v>0.1</v>
      </c>
      <c r="P319" s="2" t="n">
        <v>21.21</v>
      </c>
      <c r="Q319" s="2" t="n">
        <v>31.18</v>
      </c>
      <c r="R319" s="2" t="s">
        <v>162</v>
      </c>
      <c r="S319" s="2" t="s">
        <v>60</v>
      </c>
    </row>
    <row r="320" customFormat="false" ht="15" hidden="false" customHeight="false" outlineLevel="0" collapsed="false">
      <c r="A320" s="2" t="s">
        <v>2074</v>
      </c>
      <c r="B320" s="2" t="s">
        <v>2075</v>
      </c>
      <c r="C320" s="2" t="s">
        <v>2076</v>
      </c>
      <c r="D320" s="2" t="s">
        <v>2077</v>
      </c>
      <c r="E320" s="2" t="s">
        <v>2078</v>
      </c>
      <c r="F320" s="2" t="s">
        <v>196</v>
      </c>
      <c r="G320" s="2" t="s">
        <v>276</v>
      </c>
      <c r="H320" s="2" t="s">
        <v>26</v>
      </c>
      <c r="I320" s="2" t="s">
        <v>27</v>
      </c>
      <c r="J320" s="2" t="s">
        <v>28</v>
      </c>
      <c r="K320" s="2" t="s">
        <v>234</v>
      </c>
      <c r="L320" s="2" t="s">
        <v>495</v>
      </c>
      <c r="M320" s="2" t="s">
        <v>2079</v>
      </c>
      <c r="N320" s="2" t="n">
        <v>6</v>
      </c>
      <c r="O320" s="2" t="n">
        <v>0.4</v>
      </c>
      <c r="P320" s="2" t="n">
        <v>-374.96</v>
      </c>
      <c r="Q320" s="2" t="n">
        <v>47.87</v>
      </c>
      <c r="R320" s="2" t="s">
        <v>190</v>
      </c>
      <c r="S320" s="2" t="s">
        <v>60</v>
      </c>
    </row>
    <row r="321" customFormat="false" ht="15" hidden="false" customHeight="false" outlineLevel="0" collapsed="false">
      <c r="A321" s="2" t="s">
        <v>2080</v>
      </c>
      <c r="B321" s="2" t="s">
        <v>2081</v>
      </c>
      <c r="C321" s="2" t="s">
        <v>2082</v>
      </c>
      <c r="D321" s="2" t="s">
        <v>2083</v>
      </c>
      <c r="E321" s="2" t="s">
        <v>2084</v>
      </c>
      <c r="F321" s="2" t="s">
        <v>782</v>
      </c>
      <c r="G321" s="2" t="s">
        <v>535</v>
      </c>
      <c r="H321" s="2" t="s">
        <v>198</v>
      </c>
      <c r="I321" s="2" t="s">
        <v>106</v>
      </c>
      <c r="J321" s="2" t="s">
        <v>82</v>
      </c>
      <c r="K321" s="2" t="s">
        <v>234</v>
      </c>
      <c r="L321" s="2" t="s">
        <v>235</v>
      </c>
      <c r="M321" s="2" t="s">
        <v>2085</v>
      </c>
      <c r="N321" s="2" t="n">
        <v>1</v>
      </c>
      <c r="O321" s="2" t="n">
        <v>0.5</v>
      </c>
      <c r="P321" s="2" t="n">
        <v>-15</v>
      </c>
      <c r="Q321" s="2" t="n">
        <v>31.77</v>
      </c>
      <c r="R321" s="2" t="s">
        <v>32</v>
      </c>
      <c r="S321" s="2" t="s">
        <v>110</v>
      </c>
    </row>
    <row r="322" customFormat="false" ht="15" hidden="false" customHeight="false" outlineLevel="0" collapsed="false">
      <c r="A322" s="2" t="s">
        <v>2086</v>
      </c>
      <c r="B322" s="2" t="s">
        <v>2087</v>
      </c>
      <c r="C322" s="2" t="s">
        <v>2088</v>
      </c>
      <c r="D322" s="2" t="s">
        <v>2089</v>
      </c>
      <c r="E322" s="2" t="s">
        <v>2090</v>
      </c>
      <c r="F322" s="2" t="s">
        <v>66</v>
      </c>
      <c r="G322" s="2" t="s">
        <v>168</v>
      </c>
      <c r="H322" s="2" t="s">
        <v>169</v>
      </c>
      <c r="I322" s="2" t="s">
        <v>106</v>
      </c>
      <c r="J322" s="2" t="s">
        <v>129</v>
      </c>
      <c r="K322" s="2" t="s">
        <v>94</v>
      </c>
      <c r="L322" s="2" t="s">
        <v>95</v>
      </c>
      <c r="M322" s="2" t="s">
        <v>2091</v>
      </c>
      <c r="N322" s="2" t="n">
        <v>5</v>
      </c>
      <c r="O322" s="2" t="n">
        <v>0</v>
      </c>
      <c r="P322" s="2" t="n">
        <v>36.82</v>
      </c>
      <c r="Q322" s="2" t="n">
        <v>11.05</v>
      </c>
      <c r="R322" s="2" t="s">
        <v>47</v>
      </c>
      <c r="S322" s="2" t="s">
        <v>73</v>
      </c>
    </row>
    <row r="323" customFormat="false" ht="15" hidden="false" customHeight="false" outlineLevel="0" collapsed="false">
      <c r="A323" s="2" t="s">
        <v>2092</v>
      </c>
      <c r="B323" s="2" t="s">
        <v>2093</v>
      </c>
      <c r="C323" s="2" t="s">
        <v>2094</v>
      </c>
      <c r="D323" s="2" t="s">
        <v>2095</v>
      </c>
      <c r="E323" s="2" t="s">
        <v>2096</v>
      </c>
      <c r="F323" s="2" t="s">
        <v>66</v>
      </c>
      <c r="G323" s="2" t="s">
        <v>850</v>
      </c>
      <c r="H323" s="2" t="s">
        <v>128</v>
      </c>
      <c r="I323" s="2" t="s">
        <v>42</v>
      </c>
      <c r="J323" s="2" t="s">
        <v>93</v>
      </c>
      <c r="K323" s="2" t="s">
        <v>199</v>
      </c>
      <c r="L323" s="2" t="s">
        <v>851</v>
      </c>
      <c r="M323" s="2" t="s">
        <v>2097</v>
      </c>
      <c r="N323" s="2" t="n">
        <v>5</v>
      </c>
      <c r="O323" s="2" t="n">
        <v>0.1</v>
      </c>
      <c r="P323" s="2"/>
      <c r="Q323" s="2" t="n">
        <v>8.78</v>
      </c>
      <c r="R323" s="2" t="s">
        <v>32</v>
      </c>
      <c r="S323" s="2" t="s">
        <v>110</v>
      </c>
    </row>
    <row r="324" customFormat="false" ht="15" hidden="false" customHeight="false" outlineLevel="0" collapsed="false">
      <c r="A324" s="2" t="s">
        <v>2098</v>
      </c>
      <c r="B324" s="2" t="s">
        <v>2099</v>
      </c>
      <c r="C324" s="2" t="s">
        <v>2100</v>
      </c>
      <c r="D324" s="2" t="s">
        <v>2101</v>
      </c>
      <c r="E324" s="2" t="s">
        <v>2102</v>
      </c>
      <c r="F324" s="2" t="s">
        <v>196</v>
      </c>
      <c r="G324" s="2" t="s">
        <v>104</v>
      </c>
      <c r="H324" s="2" t="s">
        <v>105</v>
      </c>
      <c r="I324" s="2" t="s">
        <v>106</v>
      </c>
      <c r="J324" s="2" t="s">
        <v>93</v>
      </c>
      <c r="K324" s="2" t="s">
        <v>130</v>
      </c>
      <c r="L324" s="2" t="s">
        <v>522</v>
      </c>
      <c r="M324" s="2" t="s">
        <v>2103</v>
      </c>
      <c r="N324" s="2" t="n">
        <v>4</v>
      </c>
      <c r="O324" s="2" t="n">
        <v>0.3</v>
      </c>
      <c r="P324" s="2" t="n">
        <v>17.62</v>
      </c>
      <c r="Q324" s="2" t="n">
        <v>27.88</v>
      </c>
      <c r="R324" s="2" t="s">
        <v>202</v>
      </c>
      <c r="S324" s="2" t="s">
        <v>73</v>
      </c>
    </row>
    <row r="325" customFormat="false" ht="15" hidden="false" customHeight="false" outlineLevel="0" collapsed="false">
      <c r="A325" s="2" t="s">
        <v>2104</v>
      </c>
      <c r="B325" s="2" t="s">
        <v>2105</v>
      </c>
      <c r="C325" s="2" t="s">
        <v>2106</v>
      </c>
      <c r="D325" s="2" t="s">
        <v>2107</v>
      </c>
      <c r="E325" s="2" t="s">
        <v>2108</v>
      </c>
      <c r="F325" s="2" t="s">
        <v>103</v>
      </c>
      <c r="G325" s="2" t="s">
        <v>850</v>
      </c>
      <c r="H325" s="2" t="s">
        <v>128</v>
      </c>
      <c r="I325" s="2" t="s">
        <v>42</v>
      </c>
      <c r="J325" s="2" t="s">
        <v>55</v>
      </c>
      <c r="K325" s="2" t="s">
        <v>44</v>
      </c>
      <c r="L325" s="2" t="s">
        <v>45</v>
      </c>
      <c r="M325" s="2" t="s">
        <v>2109</v>
      </c>
      <c r="N325" s="2" t="n">
        <v>6</v>
      </c>
      <c r="O325" s="2" t="n">
        <v>0</v>
      </c>
      <c r="P325" s="2" t="n">
        <v>963.71</v>
      </c>
      <c r="Q325" s="2" t="n">
        <v>46.84</v>
      </c>
      <c r="R325" s="2" t="s">
        <v>133</v>
      </c>
      <c r="S325" s="2" t="s">
        <v>33</v>
      </c>
    </row>
    <row r="326" customFormat="false" ht="15" hidden="false" customHeight="false" outlineLevel="0" collapsed="false">
      <c r="A326" s="2" t="s">
        <v>2110</v>
      </c>
      <c r="B326" s="2" t="s">
        <v>2111</v>
      </c>
      <c r="C326" s="2" t="s">
        <v>2112</v>
      </c>
      <c r="D326" s="2" t="s">
        <v>1092</v>
      </c>
      <c r="E326" s="2" t="s">
        <v>1093</v>
      </c>
      <c r="F326" s="2" t="s">
        <v>24</v>
      </c>
      <c r="G326" s="2" t="s">
        <v>464</v>
      </c>
      <c r="H326" s="2" t="s">
        <v>299</v>
      </c>
      <c r="I326" s="2" t="s">
        <v>42</v>
      </c>
      <c r="J326" s="2" t="s">
        <v>28</v>
      </c>
      <c r="K326" s="2" t="s">
        <v>118</v>
      </c>
      <c r="L326" s="2" t="s">
        <v>260</v>
      </c>
      <c r="M326" s="2" t="s">
        <v>2113</v>
      </c>
      <c r="N326" s="2" t="n">
        <v>4</v>
      </c>
      <c r="O326" s="2" t="n">
        <v>0.1</v>
      </c>
      <c r="P326" s="2" t="n">
        <v>267.97</v>
      </c>
      <c r="Q326" s="2" t="n">
        <v>28.54</v>
      </c>
      <c r="R326" s="2" t="s">
        <v>72</v>
      </c>
      <c r="S326" s="2" t="s">
        <v>60</v>
      </c>
    </row>
    <row r="327" customFormat="false" ht="15" hidden="false" customHeight="false" outlineLevel="0" collapsed="false">
      <c r="A327" s="2" t="s">
        <v>2114</v>
      </c>
      <c r="B327" s="2" t="s">
        <v>1691</v>
      </c>
      <c r="C327" s="2" t="s">
        <v>2115</v>
      </c>
      <c r="D327" s="2" t="s">
        <v>2116</v>
      </c>
      <c r="E327" s="2" t="s">
        <v>2117</v>
      </c>
      <c r="F327" s="2" t="s">
        <v>179</v>
      </c>
      <c r="G327" s="2" t="s">
        <v>1359</v>
      </c>
      <c r="H327" s="2" t="s">
        <v>209</v>
      </c>
      <c r="I327" s="2" t="s">
        <v>27</v>
      </c>
      <c r="J327" s="2" t="s">
        <v>343</v>
      </c>
      <c r="K327" s="2" t="s">
        <v>83</v>
      </c>
      <c r="L327" s="2" t="s">
        <v>569</v>
      </c>
      <c r="M327" s="2" t="s">
        <v>2118</v>
      </c>
      <c r="N327" s="2" t="n">
        <v>8</v>
      </c>
      <c r="O327" s="2" t="n">
        <v>0.15</v>
      </c>
      <c r="P327" s="2" t="n">
        <v>80.89</v>
      </c>
      <c r="Q327" s="2" t="n">
        <v>27.61</v>
      </c>
      <c r="R327" s="2" t="s">
        <v>162</v>
      </c>
      <c r="S327" s="2" t="s">
        <v>60</v>
      </c>
    </row>
    <row r="328" customFormat="false" ht="15" hidden="false" customHeight="false" outlineLevel="0" collapsed="false">
      <c r="A328" s="2" t="s">
        <v>2119</v>
      </c>
      <c r="B328" s="2" t="s">
        <v>75</v>
      </c>
      <c r="C328" s="2" t="s">
        <v>2120</v>
      </c>
      <c r="D328" s="2" t="s">
        <v>2121</v>
      </c>
      <c r="E328" s="2" t="s">
        <v>2122</v>
      </c>
      <c r="F328" s="2" t="s">
        <v>782</v>
      </c>
      <c r="G328" s="2" t="s">
        <v>1506</v>
      </c>
      <c r="H328" s="2" t="s">
        <v>315</v>
      </c>
      <c r="I328" s="2" t="s">
        <v>54</v>
      </c>
      <c r="J328" s="2" t="s">
        <v>387</v>
      </c>
      <c r="K328" s="2" t="s">
        <v>199</v>
      </c>
      <c r="L328" s="2" t="s">
        <v>200</v>
      </c>
      <c r="M328" s="2" t="s">
        <v>2123</v>
      </c>
      <c r="N328" s="2" t="n">
        <v>4</v>
      </c>
      <c r="O328" s="2"/>
      <c r="P328" s="2" t="n">
        <v>-2.27</v>
      </c>
      <c r="Q328" s="2" t="n">
        <v>22.36</v>
      </c>
      <c r="R328" s="2" t="s">
        <v>440</v>
      </c>
      <c r="S328" s="2" t="s">
        <v>110</v>
      </c>
    </row>
    <row r="329" customFormat="false" ht="15" hidden="false" customHeight="false" outlineLevel="0" collapsed="false">
      <c r="A329" s="2" t="s">
        <v>2124</v>
      </c>
      <c r="B329" s="2" t="s">
        <v>2125</v>
      </c>
      <c r="C329" s="2" t="s">
        <v>2126</v>
      </c>
      <c r="D329" s="2" t="s">
        <v>2127</v>
      </c>
      <c r="E329" s="2" t="s">
        <v>2128</v>
      </c>
      <c r="F329" s="2" t="s">
        <v>24</v>
      </c>
      <c r="G329" s="2" t="s">
        <v>276</v>
      </c>
      <c r="H329" s="2" t="s">
        <v>26</v>
      </c>
      <c r="I329" s="2" t="s">
        <v>27</v>
      </c>
      <c r="J329" s="2" t="s">
        <v>93</v>
      </c>
      <c r="K329" s="2" t="s">
        <v>141</v>
      </c>
      <c r="L329" s="2" t="s">
        <v>142</v>
      </c>
      <c r="M329" s="2" t="s">
        <v>2129</v>
      </c>
      <c r="N329" s="2" t="n">
        <v>9</v>
      </c>
      <c r="O329" s="2" t="n">
        <v>0.1</v>
      </c>
      <c r="P329" s="2" t="n">
        <v>26.79</v>
      </c>
      <c r="Q329" s="2" t="n">
        <v>45.68</v>
      </c>
      <c r="R329" s="2" t="s">
        <v>32</v>
      </c>
      <c r="S329" s="2" t="s">
        <v>60</v>
      </c>
    </row>
    <row r="330" customFormat="false" ht="15" hidden="false" customHeight="false" outlineLevel="0" collapsed="false">
      <c r="A330" s="2" t="s">
        <v>2130</v>
      </c>
      <c r="B330" s="2" t="s">
        <v>2131</v>
      </c>
      <c r="C330" s="2" t="s">
        <v>2132</v>
      </c>
      <c r="D330" s="2" t="s">
        <v>2133</v>
      </c>
      <c r="E330" s="2" t="s">
        <v>2134</v>
      </c>
      <c r="F330" s="2" t="s">
        <v>267</v>
      </c>
      <c r="G330" s="2" t="s">
        <v>595</v>
      </c>
      <c r="H330" s="2" t="s">
        <v>140</v>
      </c>
      <c r="I330" s="2" t="s">
        <v>54</v>
      </c>
      <c r="J330" s="2" t="s">
        <v>343</v>
      </c>
      <c r="K330" s="2" t="s">
        <v>234</v>
      </c>
      <c r="L330" s="2" t="s">
        <v>495</v>
      </c>
      <c r="M330" s="2" t="s">
        <v>2135</v>
      </c>
      <c r="N330" s="2" t="n">
        <v>10</v>
      </c>
      <c r="O330" s="2" t="n">
        <v>0.15</v>
      </c>
      <c r="P330" s="2" t="n">
        <v>54.34</v>
      </c>
      <c r="Q330" s="2" t="n">
        <v>30.26</v>
      </c>
      <c r="R330" s="2" t="s">
        <v>181</v>
      </c>
      <c r="S330" s="2" t="s">
        <v>73</v>
      </c>
    </row>
    <row r="331" customFormat="false" ht="15" hidden="false" customHeight="false" outlineLevel="0" collapsed="false">
      <c r="A331" s="2" t="s">
        <v>2136</v>
      </c>
      <c r="B331" s="2" t="s">
        <v>2137</v>
      </c>
      <c r="C331" s="2" t="s">
        <v>2138</v>
      </c>
      <c r="D331" s="2" t="s">
        <v>2139</v>
      </c>
      <c r="E331" s="2" t="s">
        <v>2140</v>
      </c>
      <c r="F331" s="2" t="s">
        <v>79</v>
      </c>
      <c r="G331" s="2" t="s">
        <v>342</v>
      </c>
      <c r="H331" s="2" t="s">
        <v>225</v>
      </c>
      <c r="I331" s="2" t="s">
        <v>42</v>
      </c>
      <c r="J331" s="2" t="s">
        <v>244</v>
      </c>
      <c r="K331" s="2" t="s">
        <v>277</v>
      </c>
      <c r="L331" s="2" t="s">
        <v>397</v>
      </c>
      <c r="M331" s="2" t="s">
        <v>2141</v>
      </c>
      <c r="N331" s="2" t="n">
        <v>10</v>
      </c>
      <c r="O331" s="2" t="n">
        <v>0</v>
      </c>
      <c r="P331" s="2" t="n">
        <v>537.26</v>
      </c>
      <c r="Q331" s="2" t="n">
        <v>23.32</v>
      </c>
      <c r="R331" s="2" t="s">
        <v>72</v>
      </c>
      <c r="S331" s="2" t="s">
        <v>33</v>
      </c>
    </row>
    <row r="332" customFormat="false" ht="15" hidden="false" customHeight="false" outlineLevel="0" collapsed="false">
      <c r="A332" s="2" t="s">
        <v>2142</v>
      </c>
      <c r="B332" s="2" t="s">
        <v>2143</v>
      </c>
      <c r="C332" s="2" t="s">
        <v>36</v>
      </c>
      <c r="D332" s="2" t="s">
        <v>2144</v>
      </c>
      <c r="E332" s="2" t="s">
        <v>2145</v>
      </c>
      <c r="F332" s="2" t="s">
        <v>79</v>
      </c>
      <c r="G332" s="2" t="s">
        <v>187</v>
      </c>
      <c r="H332" s="2" t="s">
        <v>151</v>
      </c>
      <c r="I332" s="2" t="s">
        <v>27</v>
      </c>
      <c r="J332" s="2" t="s">
        <v>343</v>
      </c>
      <c r="K332" s="2" t="s">
        <v>83</v>
      </c>
      <c r="L332" s="2" t="s">
        <v>569</v>
      </c>
      <c r="M332" s="2" t="s">
        <v>2146</v>
      </c>
      <c r="N332" s="2" t="n">
        <v>4</v>
      </c>
      <c r="O332" s="2" t="n">
        <v>0.3</v>
      </c>
      <c r="P332" s="2" t="n">
        <v>-34.12</v>
      </c>
      <c r="Q332" s="2" t="n">
        <v>26.68</v>
      </c>
      <c r="R332" s="2" t="s">
        <v>86</v>
      </c>
      <c r="S332" s="2" t="s">
        <v>110</v>
      </c>
    </row>
    <row r="333" customFormat="false" ht="15" hidden="false" customHeight="false" outlineLevel="0" collapsed="false">
      <c r="A333" s="2" t="s">
        <v>2147</v>
      </c>
      <c r="B333" s="2" t="s">
        <v>2148</v>
      </c>
      <c r="C333" s="2" t="s">
        <v>2112</v>
      </c>
      <c r="D333" s="2" t="s">
        <v>2149</v>
      </c>
      <c r="E333" s="2" t="s">
        <v>2150</v>
      </c>
      <c r="F333" s="2" t="s">
        <v>79</v>
      </c>
      <c r="G333" s="2" t="s">
        <v>450</v>
      </c>
      <c r="H333" s="2" t="s">
        <v>259</v>
      </c>
      <c r="I333" s="2" t="s">
        <v>106</v>
      </c>
      <c r="J333" s="2" t="s">
        <v>55</v>
      </c>
      <c r="K333" s="2" t="s">
        <v>44</v>
      </c>
      <c r="L333" s="2" t="s">
        <v>596</v>
      </c>
      <c r="M333" s="2" t="s">
        <v>2151</v>
      </c>
      <c r="N333" s="2" t="n">
        <v>1</v>
      </c>
      <c r="O333" s="2" t="n">
        <v>0.5</v>
      </c>
      <c r="P333" s="2" t="n">
        <v>-35.21</v>
      </c>
      <c r="Q333" s="2" t="n">
        <v>7.34</v>
      </c>
      <c r="R333" s="2" t="s">
        <v>202</v>
      </c>
      <c r="S333" s="2" t="s">
        <v>110</v>
      </c>
    </row>
    <row r="334" customFormat="false" ht="15" hidden="false" customHeight="false" outlineLevel="0" collapsed="false">
      <c r="A334" s="2" t="s">
        <v>2152</v>
      </c>
      <c r="B334" s="2" t="s">
        <v>1189</v>
      </c>
      <c r="C334" s="2" t="s">
        <v>2153</v>
      </c>
      <c r="D334" s="2" t="s">
        <v>1756</v>
      </c>
      <c r="E334" s="2" t="s">
        <v>1757</v>
      </c>
      <c r="F334" s="2" t="s">
        <v>66</v>
      </c>
      <c r="G334" s="2" t="s">
        <v>372</v>
      </c>
      <c r="H334" s="2" t="s">
        <v>373</v>
      </c>
      <c r="I334" s="2" t="s">
        <v>27</v>
      </c>
      <c r="J334" s="2" t="s">
        <v>43</v>
      </c>
      <c r="K334" s="2" t="s">
        <v>56</v>
      </c>
      <c r="L334" s="2" t="s">
        <v>536</v>
      </c>
      <c r="M334" s="2" t="s">
        <v>2154</v>
      </c>
      <c r="N334" s="2" t="n">
        <v>11</v>
      </c>
      <c r="O334" s="2" t="n">
        <v>0</v>
      </c>
      <c r="P334" s="2" t="n">
        <v>349.19</v>
      </c>
      <c r="Q334" s="2" t="n">
        <v>40.24</v>
      </c>
      <c r="R334" s="2" t="s">
        <v>86</v>
      </c>
      <c r="S334" s="2" t="s">
        <v>110</v>
      </c>
    </row>
    <row r="335" customFormat="false" ht="15" hidden="false" customHeight="false" outlineLevel="0" collapsed="false">
      <c r="A335" s="2" t="s">
        <v>2155</v>
      </c>
      <c r="B335" s="2" t="s">
        <v>1553</v>
      </c>
      <c r="C335" s="2" t="s">
        <v>2156</v>
      </c>
      <c r="D335" s="2" t="s">
        <v>2157</v>
      </c>
      <c r="E335" s="2" t="s">
        <v>2158</v>
      </c>
      <c r="F335" s="2" t="s">
        <v>149</v>
      </c>
      <c r="G335" s="2" t="s">
        <v>40</v>
      </c>
      <c r="H335" s="2" t="s">
        <v>41</v>
      </c>
      <c r="I335" s="2" t="s">
        <v>42</v>
      </c>
      <c r="J335" s="2" t="s">
        <v>82</v>
      </c>
      <c r="K335" s="2" t="s">
        <v>29</v>
      </c>
      <c r="L335" s="2" t="s">
        <v>30</v>
      </c>
      <c r="M335" s="2" t="s">
        <v>2159</v>
      </c>
      <c r="N335" s="2" t="n">
        <v>7</v>
      </c>
      <c r="O335" s="2" t="n">
        <v>0</v>
      </c>
      <c r="P335" s="2" t="n">
        <v>1654.77</v>
      </c>
      <c r="Q335" s="2" t="n">
        <v>22.11</v>
      </c>
      <c r="R335" s="2" t="s">
        <v>72</v>
      </c>
      <c r="S335" s="2" t="s">
        <v>110</v>
      </c>
    </row>
    <row r="336" customFormat="false" ht="15" hidden="false" customHeight="false" outlineLevel="0" collapsed="false">
      <c r="A336" s="2" t="s">
        <v>2160</v>
      </c>
      <c r="B336" s="2" t="s">
        <v>2161</v>
      </c>
      <c r="C336" s="2" t="s">
        <v>2162</v>
      </c>
      <c r="D336" s="2" t="s">
        <v>2163</v>
      </c>
      <c r="E336" s="2" t="s">
        <v>2164</v>
      </c>
      <c r="F336" s="2" t="s">
        <v>179</v>
      </c>
      <c r="G336" s="2" t="s">
        <v>1454</v>
      </c>
      <c r="H336" s="2" t="s">
        <v>26</v>
      </c>
      <c r="I336" s="2" t="s">
        <v>27</v>
      </c>
      <c r="J336" s="2" t="s">
        <v>43</v>
      </c>
      <c r="K336" s="2" t="s">
        <v>277</v>
      </c>
      <c r="L336" s="2" t="s">
        <v>613</v>
      </c>
      <c r="M336" s="2" t="s">
        <v>2165</v>
      </c>
      <c r="N336" s="2" t="n">
        <v>10</v>
      </c>
      <c r="O336" s="2" t="n">
        <v>0.3</v>
      </c>
      <c r="P336" s="2" t="n">
        <v>-235.99</v>
      </c>
      <c r="Q336" s="2" t="n">
        <v>41.48</v>
      </c>
      <c r="R336" s="2" t="s">
        <v>162</v>
      </c>
      <c r="S336" s="2" t="s">
        <v>60</v>
      </c>
    </row>
    <row r="337" customFormat="false" ht="15" hidden="false" customHeight="false" outlineLevel="0" collapsed="false">
      <c r="A337" s="2" t="s">
        <v>2166</v>
      </c>
      <c r="B337" s="2" t="s">
        <v>2167</v>
      </c>
      <c r="C337" s="2" t="s">
        <v>2168</v>
      </c>
      <c r="D337" s="2" t="s">
        <v>2169</v>
      </c>
      <c r="E337" s="2" t="s">
        <v>2170</v>
      </c>
      <c r="F337" s="2" t="s">
        <v>39</v>
      </c>
      <c r="G337" s="2" t="s">
        <v>2171</v>
      </c>
      <c r="H337" s="2" t="s">
        <v>299</v>
      </c>
      <c r="I337" s="2" t="s">
        <v>42</v>
      </c>
      <c r="J337" s="2" t="s">
        <v>188</v>
      </c>
      <c r="K337" s="2" t="s">
        <v>69</v>
      </c>
      <c r="L337" s="2" t="s">
        <v>417</v>
      </c>
      <c r="M337" s="2" t="s">
        <v>2172</v>
      </c>
      <c r="N337" s="2" t="n">
        <v>10</v>
      </c>
      <c r="O337" s="2" t="n">
        <v>0.4</v>
      </c>
      <c r="P337" s="2" t="n">
        <v>-600.52</v>
      </c>
      <c r="Q337" s="2" t="n">
        <v>28.1</v>
      </c>
      <c r="R337" s="2" t="s">
        <v>173</v>
      </c>
      <c r="S337" s="2" t="s">
        <v>110</v>
      </c>
    </row>
    <row r="338" customFormat="false" ht="15" hidden="false" customHeight="false" outlineLevel="0" collapsed="false">
      <c r="A338" s="2" t="s">
        <v>2173</v>
      </c>
      <c r="B338" s="2" t="s">
        <v>2174</v>
      </c>
      <c r="C338" s="2" t="s">
        <v>1515</v>
      </c>
      <c r="D338" s="2" t="s">
        <v>2175</v>
      </c>
      <c r="E338" s="2" t="s">
        <v>2176</v>
      </c>
      <c r="F338" s="2" t="s">
        <v>39</v>
      </c>
      <c r="G338" s="2" t="s">
        <v>2037</v>
      </c>
      <c r="H338" s="2" t="s">
        <v>68</v>
      </c>
      <c r="I338" s="2" t="s">
        <v>42</v>
      </c>
      <c r="J338" s="2" t="s">
        <v>93</v>
      </c>
      <c r="K338" s="2" t="s">
        <v>141</v>
      </c>
      <c r="L338" s="2" t="s">
        <v>864</v>
      </c>
      <c r="M338" s="2" t="s">
        <v>2177</v>
      </c>
      <c r="N338" s="2" t="n">
        <v>10</v>
      </c>
      <c r="O338" s="2" t="n">
        <v>0</v>
      </c>
      <c r="P338" s="2" t="n">
        <v>129.94</v>
      </c>
      <c r="Q338" s="2" t="n">
        <v>11.87</v>
      </c>
      <c r="R338" s="2" t="s">
        <v>202</v>
      </c>
      <c r="S338" s="2" t="s">
        <v>110</v>
      </c>
    </row>
    <row r="339" customFormat="false" ht="15" hidden="false" customHeight="false" outlineLevel="0" collapsed="false">
      <c r="A339" s="2" t="s">
        <v>2178</v>
      </c>
      <c r="B339" s="2" t="s">
        <v>2179</v>
      </c>
      <c r="C339" s="2" t="s">
        <v>2180</v>
      </c>
      <c r="D339" s="2" t="s">
        <v>2181</v>
      </c>
      <c r="E339" s="2" t="s">
        <v>2182</v>
      </c>
      <c r="F339" s="2" t="s">
        <v>39</v>
      </c>
      <c r="G339" s="2" t="s">
        <v>52</v>
      </c>
      <c r="H339" s="2" t="s">
        <v>53</v>
      </c>
      <c r="I339" s="2" t="s">
        <v>54</v>
      </c>
      <c r="J339" s="2" t="s">
        <v>93</v>
      </c>
      <c r="K339" s="2" t="s">
        <v>199</v>
      </c>
      <c r="L339" s="2" t="s">
        <v>789</v>
      </c>
      <c r="M339" s="2" t="s">
        <v>2183</v>
      </c>
      <c r="N339" s="2" t="n">
        <v>7</v>
      </c>
      <c r="O339" s="2" t="n">
        <v>0</v>
      </c>
      <c r="P339" s="2" t="n">
        <v>74.37</v>
      </c>
      <c r="Q339" s="2" t="n">
        <v>55.2</v>
      </c>
      <c r="R339" s="2" t="s">
        <v>72</v>
      </c>
      <c r="S339" s="2" t="s">
        <v>33</v>
      </c>
    </row>
    <row r="340" customFormat="false" ht="15" hidden="false" customHeight="false" outlineLevel="0" collapsed="false">
      <c r="A340" s="2" t="s">
        <v>2184</v>
      </c>
      <c r="B340" s="2" t="s">
        <v>2185</v>
      </c>
      <c r="C340" s="2" t="s">
        <v>2186</v>
      </c>
      <c r="D340" s="2" t="s">
        <v>2187</v>
      </c>
      <c r="E340" s="2" t="s">
        <v>2188</v>
      </c>
      <c r="F340" s="2" t="s">
        <v>103</v>
      </c>
      <c r="G340" s="2" t="s">
        <v>702</v>
      </c>
      <c r="H340" s="2" t="s">
        <v>105</v>
      </c>
      <c r="I340" s="2" t="s">
        <v>106</v>
      </c>
      <c r="J340" s="2" t="s">
        <v>387</v>
      </c>
      <c r="K340" s="2" t="s">
        <v>170</v>
      </c>
      <c r="L340" s="2" t="s">
        <v>226</v>
      </c>
      <c r="M340" s="2" t="s">
        <v>2189</v>
      </c>
      <c r="N340" s="2" t="n">
        <v>9</v>
      </c>
      <c r="O340" s="2" t="n">
        <v>0.4</v>
      </c>
      <c r="P340" s="2" t="n">
        <v>7.37</v>
      </c>
      <c r="Q340" s="2" t="n">
        <v>9.04</v>
      </c>
      <c r="R340" s="2" t="s">
        <v>133</v>
      </c>
      <c r="S340" s="2" t="s">
        <v>60</v>
      </c>
    </row>
    <row r="341" customFormat="false" ht="15" hidden="false" customHeight="false" outlineLevel="0" collapsed="false">
      <c r="A341" s="2" t="s">
        <v>2190</v>
      </c>
      <c r="B341" s="2" t="s">
        <v>2191</v>
      </c>
      <c r="C341" s="2" t="s">
        <v>2192</v>
      </c>
      <c r="D341" s="2" t="s">
        <v>1053</v>
      </c>
      <c r="E341" s="2" t="s">
        <v>1054</v>
      </c>
      <c r="F341" s="2" t="s">
        <v>149</v>
      </c>
      <c r="G341" s="2" t="s">
        <v>1359</v>
      </c>
      <c r="H341" s="2" t="s">
        <v>209</v>
      </c>
      <c r="I341" s="2" t="s">
        <v>27</v>
      </c>
      <c r="J341" s="2" t="s">
        <v>244</v>
      </c>
      <c r="K341" s="2" t="s">
        <v>56</v>
      </c>
      <c r="L341" s="2" t="s">
        <v>57</v>
      </c>
      <c r="M341" s="2" t="s">
        <v>2193</v>
      </c>
      <c r="N341" s="2" t="n">
        <v>8</v>
      </c>
      <c r="O341" s="2" t="n">
        <v>0.4</v>
      </c>
      <c r="P341" s="2" t="n">
        <v>33.7</v>
      </c>
      <c r="Q341" s="2" t="n">
        <v>56.84</v>
      </c>
      <c r="R341" s="2" t="s">
        <v>202</v>
      </c>
      <c r="S341" s="2" t="s">
        <v>110</v>
      </c>
    </row>
    <row r="342" customFormat="false" ht="15" hidden="false" customHeight="false" outlineLevel="0" collapsed="false">
      <c r="A342" s="2" t="s">
        <v>2194</v>
      </c>
      <c r="B342" s="2" t="s">
        <v>2195</v>
      </c>
      <c r="C342" s="2" t="s">
        <v>2196</v>
      </c>
      <c r="D342" s="2" t="s">
        <v>2197</v>
      </c>
      <c r="E342" s="2" t="s">
        <v>2198</v>
      </c>
      <c r="F342" s="2" t="s">
        <v>24</v>
      </c>
      <c r="G342" s="2" t="s">
        <v>1124</v>
      </c>
      <c r="H342" s="2" t="s">
        <v>68</v>
      </c>
      <c r="I342" s="2" t="s">
        <v>42</v>
      </c>
      <c r="J342" s="2" t="s">
        <v>387</v>
      </c>
      <c r="K342" s="2" t="s">
        <v>170</v>
      </c>
      <c r="L342" s="2" t="s">
        <v>226</v>
      </c>
      <c r="M342" s="2" t="s">
        <v>2199</v>
      </c>
      <c r="N342" s="2" t="n">
        <v>11</v>
      </c>
      <c r="O342" s="2" t="n">
        <v>0</v>
      </c>
      <c r="P342" s="2" t="n">
        <v>117.38</v>
      </c>
      <c r="Q342" s="2" t="n">
        <v>33.57</v>
      </c>
      <c r="R342" s="2" t="s">
        <v>72</v>
      </c>
      <c r="S342" s="2" t="s">
        <v>60</v>
      </c>
    </row>
    <row r="343" customFormat="false" ht="15" hidden="false" customHeight="false" outlineLevel="0" collapsed="false">
      <c r="A343" s="2" t="s">
        <v>2200</v>
      </c>
      <c r="B343" s="2" t="s">
        <v>2201</v>
      </c>
      <c r="C343" s="2" t="s">
        <v>2202</v>
      </c>
      <c r="D343" s="2" t="s">
        <v>2203</v>
      </c>
      <c r="E343" s="2" t="s">
        <v>2204</v>
      </c>
      <c r="F343" s="2" t="s">
        <v>24</v>
      </c>
      <c r="G343" s="2" t="s">
        <v>80</v>
      </c>
      <c r="H343" s="2" t="s">
        <v>81</v>
      </c>
      <c r="I343" s="2" t="s">
        <v>42</v>
      </c>
      <c r="J343" s="2" t="s">
        <v>43</v>
      </c>
      <c r="K343" s="2" t="s">
        <v>44</v>
      </c>
      <c r="L343" s="2" t="s">
        <v>596</v>
      </c>
      <c r="M343" s="2" t="s">
        <v>2205</v>
      </c>
      <c r="N343" s="2" t="n">
        <v>2</v>
      </c>
      <c r="O343" s="2" t="n">
        <v>0.4</v>
      </c>
      <c r="P343" s="2" t="n">
        <v>-130.08</v>
      </c>
      <c r="Q343" s="2" t="n">
        <v>31.87</v>
      </c>
      <c r="R343" s="2" t="s">
        <v>133</v>
      </c>
      <c r="S343" s="2" t="s">
        <v>33</v>
      </c>
    </row>
    <row r="344" customFormat="false" ht="15" hidden="false" customHeight="false" outlineLevel="0" collapsed="false">
      <c r="A344" s="2" t="s">
        <v>2206</v>
      </c>
      <c r="B344" s="2" t="s">
        <v>2207</v>
      </c>
      <c r="C344" s="2" t="s">
        <v>2208</v>
      </c>
      <c r="D344" s="2" t="s">
        <v>2209</v>
      </c>
      <c r="E344" s="2" t="s">
        <v>2210</v>
      </c>
      <c r="F344" s="2" t="s">
        <v>103</v>
      </c>
      <c r="G344" s="2" t="s">
        <v>990</v>
      </c>
      <c r="H344" s="2" t="s">
        <v>169</v>
      </c>
      <c r="I344" s="2" t="s">
        <v>106</v>
      </c>
      <c r="J344" s="2" t="s">
        <v>55</v>
      </c>
      <c r="K344" s="2" t="s">
        <v>56</v>
      </c>
      <c r="L344" s="2" t="s">
        <v>536</v>
      </c>
      <c r="M344" s="2" t="s">
        <v>2211</v>
      </c>
      <c r="N344" s="2" t="n">
        <v>12</v>
      </c>
      <c r="O344" s="2" t="n">
        <v>0.15</v>
      </c>
      <c r="P344" s="2" t="n">
        <v>308.01</v>
      </c>
      <c r="Q344" s="2" t="n">
        <v>24.67</v>
      </c>
      <c r="R344" s="2" t="s">
        <v>190</v>
      </c>
      <c r="S344" s="2" t="s">
        <v>33</v>
      </c>
    </row>
    <row r="345" customFormat="false" ht="15" hidden="false" customHeight="false" outlineLevel="0" collapsed="false">
      <c r="A345" s="2" t="s">
        <v>2212</v>
      </c>
      <c r="B345" s="2" t="s">
        <v>2213</v>
      </c>
      <c r="C345" s="2" t="s">
        <v>2214</v>
      </c>
      <c r="D345" s="2" t="s">
        <v>2215</v>
      </c>
      <c r="E345" s="2" t="s">
        <v>2216</v>
      </c>
      <c r="F345" s="2" t="s">
        <v>149</v>
      </c>
      <c r="G345" s="2" t="s">
        <v>1423</v>
      </c>
      <c r="H345" s="2" t="s">
        <v>612</v>
      </c>
      <c r="I345" s="2" t="s">
        <v>106</v>
      </c>
      <c r="J345" s="2" t="s">
        <v>55</v>
      </c>
      <c r="K345" s="2" t="s">
        <v>56</v>
      </c>
      <c r="L345" s="2" t="s">
        <v>307</v>
      </c>
      <c r="M345" s="2" t="s">
        <v>2217</v>
      </c>
      <c r="N345" s="2" t="n">
        <v>10</v>
      </c>
      <c r="O345" s="2" t="n">
        <v>0.5</v>
      </c>
      <c r="P345" s="2" t="n">
        <v>-603.77</v>
      </c>
      <c r="Q345" s="2" t="n">
        <v>48.64</v>
      </c>
      <c r="R345" s="2" t="s">
        <v>72</v>
      </c>
      <c r="S345" s="2" t="s">
        <v>33</v>
      </c>
    </row>
    <row r="346" customFormat="false" ht="15" hidden="false" customHeight="false" outlineLevel="0" collapsed="false">
      <c r="A346" s="2" t="s">
        <v>2218</v>
      </c>
      <c r="B346" s="2" t="s">
        <v>75</v>
      </c>
      <c r="C346" s="2" t="s">
        <v>421</v>
      </c>
      <c r="D346" s="2" t="s">
        <v>2219</v>
      </c>
      <c r="E346" s="2" t="s">
        <v>2220</v>
      </c>
      <c r="F346" s="2" t="s">
        <v>179</v>
      </c>
      <c r="G346" s="2" t="s">
        <v>342</v>
      </c>
      <c r="H346" s="2" t="s">
        <v>225</v>
      </c>
      <c r="I346" s="2" t="s">
        <v>42</v>
      </c>
      <c r="J346" s="2" t="s">
        <v>93</v>
      </c>
      <c r="K346" s="2" t="s">
        <v>141</v>
      </c>
      <c r="L346" s="2" t="s">
        <v>269</v>
      </c>
      <c r="M346" s="2" t="s">
        <v>2221</v>
      </c>
      <c r="N346" s="2" t="n">
        <v>3</v>
      </c>
      <c r="O346" s="2" t="n">
        <v>0</v>
      </c>
      <c r="P346" s="2" t="n">
        <v>23.47</v>
      </c>
      <c r="Q346" s="2" t="n">
        <v>14.75</v>
      </c>
      <c r="R346" s="2" t="s">
        <v>72</v>
      </c>
      <c r="S346" s="2"/>
    </row>
    <row r="347" customFormat="false" ht="15" hidden="false" customHeight="false" outlineLevel="0" collapsed="false">
      <c r="A347" s="2" t="s">
        <v>2222</v>
      </c>
      <c r="B347" s="2" t="s">
        <v>2223</v>
      </c>
      <c r="C347" s="2" t="s">
        <v>2224</v>
      </c>
      <c r="D347" s="2" t="s">
        <v>2225</v>
      </c>
      <c r="E347" s="2" t="s">
        <v>2226</v>
      </c>
      <c r="F347" s="2" t="s">
        <v>179</v>
      </c>
      <c r="G347" s="2" t="s">
        <v>80</v>
      </c>
      <c r="H347" s="2" t="s">
        <v>81</v>
      </c>
      <c r="I347" s="2" t="s">
        <v>42</v>
      </c>
      <c r="J347" s="2" t="s">
        <v>55</v>
      </c>
      <c r="K347" s="2" t="s">
        <v>69</v>
      </c>
      <c r="L347" s="2" t="s">
        <v>417</v>
      </c>
      <c r="M347" s="2" t="s">
        <v>2227</v>
      </c>
      <c r="N347" s="2" t="n">
        <v>12</v>
      </c>
      <c r="O347" s="2" t="n">
        <v>0.2</v>
      </c>
      <c r="P347" s="2" t="n">
        <v>216.75</v>
      </c>
      <c r="Q347" s="2" t="n">
        <v>3.86</v>
      </c>
      <c r="R347" s="2" t="s">
        <v>202</v>
      </c>
      <c r="S347" s="2" t="s">
        <v>110</v>
      </c>
    </row>
    <row r="348" customFormat="false" ht="15" hidden="false" customHeight="false" outlineLevel="0" collapsed="false">
      <c r="A348" s="2" t="s">
        <v>2228</v>
      </c>
      <c r="B348" s="2" t="s">
        <v>2229</v>
      </c>
      <c r="C348" s="2" t="s">
        <v>2230</v>
      </c>
      <c r="D348" s="2" t="s">
        <v>2231</v>
      </c>
      <c r="E348" s="2" t="s">
        <v>2232</v>
      </c>
      <c r="F348" s="2" t="s">
        <v>103</v>
      </c>
      <c r="G348" s="2" t="s">
        <v>438</v>
      </c>
      <c r="H348" s="2" t="s">
        <v>286</v>
      </c>
      <c r="I348" s="2" t="s">
        <v>54</v>
      </c>
      <c r="J348" s="2" t="s">
        <v>82</v>
      </c>
      <c r="K348" s="2" t="s">
        <v>234</v>
      </c>
      <c r="L348" s="2" t="s">
        <v>235</v>
      </c>
      <c r="M348" s="2" t="s">
        <v>2233</v>
      </c>
      <c r="N348" s="2" t="n">
        <v>2</v>
      </c>
      <c r="O348" s="2" t="n">
        <v>0.1</v>
      </c>
      <c r="P348" s="2" t="n">
        <v>-1155.68</v>
      </c>
      <c r="Q348" s="2" t="n">
        <v>57.93</v>
      </c>
      <c r="R348" s="2" t="s">
        <v>162</v>
      </c>
      <c r="S348" s="2" t="s">
        <v>33</v>
      </c>
    </row>
    <row r="349" customFormat="false" ht="15" hidden="false" customHeight="false" outlineLevel="0" collapsed="false">
      <c r="A349" s="2" t="s">
        <v>2234</v>
      </c>
      <c r="B349" s="2" t="s">
        <v>2235</v>
      </c>
      <c r="C349" s="2" t="s">
        <v>2236</v>
      </c>
      <c r="D349" s="2" t="s">
        <v>2237</v>
      </c>
      <c r="E349" s="2" t="s">
        <v>2238</v>
      </c>
      <c r="F349" s="2" t="s">
        <v>103</v>
      </c>
      <c r="G349" s="2" t="s">
        <v>2239</v>
      </c>
      <c r="H349" s="2" t="s">
        <v>198</v>
      </c>
      <c r="I349" s="2" t="s">
        <v>106</v>
      </c>
      <c r="J349" s="2" t="s">
        <v>55</v>
      </c>
      <c r="K349" s="2" t="s">
        <v>44</v>
      </c>
      <c r="L349" s="2" t="s">
        <v>351</v>
      </c>
      <c r="M349" s="2" t="s">
        <v>2240</v>
      </c>
      <c r="N349" s="2" t="n">
        <v>9</v>
      </c>
      <c r="O349" s="2" t="n">
        <v>0.15</v>
      </c>
      <c r="P349" s="2" t="n">
        <v>398.92</v>
      </c>
      <c r="Q349" s="2" t="n">
        <v>44.69</v>
      </c>
      <c r="R349" s="2" t="s">
        <v>440</v>
      </c>
      <c r="S349" s="2" t="s">
        <v>60</v>
      </c>
    </row>
    <row r="350" customFormat="false" ht="15" hidden="false" customHeight="false" outlineLevel="0" collapsed="false">
      <c r="A350" s="2" t="s">
        <v>2241</v>
      </c>
      <c r="B350" s="2" t="s">
        <v>2242</v>
      </c>
      <c r="C350" s="2" t="s">
        <v>2243</v>
      </c>
      <c r="D350" s="2" t="s">
        <v>2244</v>
      </c>
      <c r="E350" s="2" t="s">
        <v>291</v>
      </c>
      <c r="F350" s="2" t="s">
        <v>149</v>
      </c>
      <c r="G350" s="2" t="s">
        <v>850</v>
      </c>
      <c r="H350" s="2" t="s">
        <v>128</v>
      </c>
      <c r="I350" s="2" t="s">
        <v>42</v>
      </c>
      <c r="J350" s="2" t="s">
        <v>82</v>
      </c>
      <c r="K350" s="2" t="s">
        <v>118</v>
      </c>
      <c r="L350" s="2" t="s">
        <v>260</v>
      </c>
      <c r="M350" s="2" t="s">
        <v>2245</v>
      </c>
      <c r="N350" s="2" t="n">
        <v>5</v>
      </c>
      <c r="O350" s="2" t="n">
        <v>0.3</v>
      </c>
      <c r="P350" s="2" t="n">
        <v>87.45</v>
      </c>
      <c r="Q350" s="2" t="n">
        <v>42.82</v>
      </c>
      <c r="R350" s="2" t="s">
        <v>133</v>
      </c>
      <c r="S350" s="2" t="s">
        <v>110</v>
      </c>
    </row>
    <row r="351" customFormat="false" ht="15" hidden="false" customHeight="false" outlineLevel="0" collapsed="false">
      <c r="A351" s="2" t="s">
        <v>2246</v>
      </c>
      <c r="B351" s="2" t="s">
        <v>2247</v>
      </c>
      <c r="C351" s="2" t="s">
        <v>2248</v>
      </c>
      <c r="D351" s="2" t="s">
        <v>2249</v>
      </c>
      <c r="E351" s="2" t="s">
        <v>2250</v>
      </c>
      <c r="F351" s="2" t="s">
        <v>179</v>
      </c>
      <c r="G351" s="2" t="s">
        <v>1506</v>
      </c>
      <c r="H351" s="2" t="s">
        <v>315</v>
      </c>
      <c r="I351" s="2" t="s">
        <v>54</v>
      </c>
      <c r="J351" s="2" t="s">
        <v>82</v>
      </c>
      <c r="K351" s="2" t="s">
        <v>29</v>
      </c>
      <c r="L351" s="2" t="s">
        <v>374</v>
      </c>
      <c r="M351" s="2" t="s">
        <v>2251</v>
      </c>
      <c r="N351" s="2" t="n">
        <v>11</v>
      </c>
      <c r="O351" s="2" t="n">
        <v>0.1</v>
      </c>
      <c r="P351" s="2" t="n">
        <v>1510.17</v>
      </c>
      <c r="Q351" s="2" t="n">
        <v>15.16</v>
      </c>
      <c r="R351" s="2" t="s">
        <v>181</v>
      </c>
      <c r="S351" s="2" t="s">
        <v>33</v>
      </c>
    </row>
    <row r="352" customFormat="false" ht="15" hidden="false" customHeight="false" outlineLevel="0" collapsed="false">
      <c r="A352" s="2" t="s">
        <v>2252</v>
      </c>
      <c r="B352" s="2" t="s">
        <v>2253</v>
      </c>
      <c r="C352" s="2" t="s">
        <v>2254</v>
      </c>
      <c r="D352" s="2" t="s">
        <v>2255</v>
      </c>
      <c r="E352" s="2" t="s">
        <v>2256</v>
      </c>
      <c r="F352" s="2" t="s">
        <v>66</v>
      </c>
      <c r="G352" s="2" t="s">
        <v>342</v>
      </c>
      <c r="H352" s="2" t="s">
        <v>225</v>
      </c>
      <c r="I352" s="2" t="s">
        <v>42</v>
      </c>
      <c r="J352" s="2" t="s">
        <v>93</v>
      </c>
      <c r="K352" s="2" t="s">
        <v>199</v>
      </c>
      <c r="L352" s="2" t="s">
        <v>789</v>
      </c>
      <c r="M352" s="2" t="s">
        <v>2257</v>
      </c>
      <c r="N352" s="2" t="n">
        <v>12</v>
      </c>
      <c r="O352" s="2" t="n">
        <v>0.5</v>
      </c>
      <c r="P352" s="2" t="n">
        <v>-89.92</v>
      </c>
      <c r="Q352" s="2" t="n">
        <v>36.03</v>
      </c>
      <c r="R352" s="2" t="s">
        <v>133</v>
      </c>
      <c r="S352" s="2" t="s">
        <v>73</v>
      </c>
    </row>
    <row r="353" customFormat="false" ht="15" hidden="false" customHeight="false" outlineLevel="0" collapsed="false">
      <c r="A353" s="2" t="s">
        <v>2258</v>
      </c>
      <c r="B353" s="2" t="s">
        <v>2259</v>
      </c>
      <c r="C353" s="2" t="s">
        <v>2260</v>
      </c>
      <c r="D353" s="2" t="s">
        <v>2261</v>
      </c>
      <c r="E353" s="2" t="s">
        <v>2262</v>
      </c>
      <c r="F353" s="2" t="s">
        <v>24</v>
      </c>
      <c r="G353" s="2" t="s">
        <v>2263</v>
      </c>
      <c r="H353" s="2" t="s">
        <v>480</v>
      </c>
      <c r="I353" s="2" t="s">
        <v>54</v>
      </c>
      <c r="J353" s="2" t="s">
        <v>82</v>
      </c>
      <c r="K353" s="2" t="s">
        <v>29</v>
      </c>
      <c r="L353" s="2" t="s">
        <v>30</v>
      </c>
      <c r="M353" s="2" t="s">
        <v>2264</v>
      </c>
      <c r="N353" s="2" t="n">
        <v>12</v>
      </c>
      <c r="O353" s="2" t="n">
        <v>0.4</v>
      </c>
      <c r="P353" s="2" t="n">
        <v>-1108.09</v>
      </c>
      <c r="Q353" s="2" t="n">
        <v>15.03</v>
      </c>
      <c r="R353" s="2" t="s">
        <v>190</v>
      </c>
      <c r="S353" s="2" t="s">
        <v>60</v>
      </c>
    </row>
    <row r="354" customFormat="false" ht="15" hidden="false" customHeight="false" outlineLevel="0" collapsed="false">
      <c r="A354" s="2" t="s">
        <v>2265</v>
      </c>
      <c r="B354" s="2" t="s">
        <v>2266</v>
      </c>
      <c r="C354" s="2" t="s">
        <v>2267</v>
      </c>
      <c r="D354" s="2" t="s">
        <v>2268</v>
      </c>
      <c r="E354" s="2" t="s">
        <v>2269</v>
      </c>
      <c r="F354" s="2" t="s">
        <v>24</v>
      </c>
      <c r="G354" s="2" t="s">
        <v>285</v>
      </c>
      <c r="H354" s="2" t="s">
        <v>286</v>
      </c>
      <c r="I354" s="2" t="s">
        <v>54</v>
      </c>
      <c r="J354" s="2" t="s">
        <v>55</v>
      </c>
      <c r="K354" s="2" t="s">
        <v>69</v>
      </c>
      <c r="L354" s="2" t="s">
        <v>70</v>
      </c>
      <c r="M354" s="2" t="s">
        <v>2270</v>
      </c>
      <c r="N354" s="2" t="n">
        <v>9</v>
      </c>
      <c r="O354" s="2" t="n">
        <v>0</v>
      </c>
      <c r="P354" s="2" t="n">
        <v>303.24</v>
      </c>
      <c r="Q354" s="2" t="n">
        <v>8.8</v>
      </c>
      <c r="R354" s="2" t="s">
        <v>121</v>
      </c>
      <c r="S354" s="2" t="s">
        <v>33</v>
      </c>
    </row>
    <row r="355" customFormat="false" ht="15" hidden="false" customHeight="false" outlineLevel="0" collapsed="false">
      <c r="A355" s="2" t="s">
        <v>2271</v>
      </c>
      <c r="B355" s="2" t="s">
        <v>2272</v>
      </c>
      <c r="C355" s="2" t="s">
        <v>2273</v>
      </c>
      <c r="D355" s="2" t="s">
        <v>2274</v>
      </c>
      <c r="E355" s="2" t="s">
        <v>2275</v>
      </c>
      <c r="F355" s="2" t="s">
        <v>103</v>
      </c>
      <c r="G355" s="2"/>
      <c r="H355" s="2" t="s">
        <v>243</v>
      </c>
      <c r="I355" s="2" t="s">
        <v>54</v>
      </c>
      <c r="J355" s="2" t="s">
        <v>28</v>
      </c>
      <c r="K355" s="2" t="s">
        <v>118</v>
      </c>
      <c r="L355" s="2" t="s">
        <v>251</v>
      </c>
      <c r="M355" s="2" t="s">
        <v>2276</v>
      </c>
      <c r="N355" s="2" t="n">
        <v>9</v>
      </c>
      <c r="O355" s="2" t="n">
        <v>0.4</v>
      </c>
      <c r="P355" s="2" t="n">
        <v>3918.16</v>
      </c>
      <c r="Q355" s="2" t="n">
        <v>9.46</v>
      </c>
      <c r="R355" s="2" t="s">
        <v>121</v>
      </c>
      <c r="S355" s="2" t="s">
        <v>33</v>
      </c>
    </row>
    <row r="356" customFormat="false" ht="15" hidden="false" customHeight="false" outlineLevel="0" collapsed="false">
      <c r="A356" s="2" t="s">
        <v>2277</v>
      </c>
      <c r="B356" s="2" t="s">
        <v>2278</v>
      </c>
      <c r="C356" s="2" t="s">
        <v>2279</v>
      </c>
      <c r="D356" s="2" t="s">
        <v>2280</v>
      </c>
      <c r="E356" s="2" t="s">
        <v>2281</v>
      </c>
      <c r="F356" s="2" t="s">
        <v>196</v>
      </c>
      <c r="G356" s="2" t="s">
        <v>322</v>
      </c>
      <c r="H356" s="2" t="s">
        <v>117</v>
      </c>
      <c r="I356" s="2" t="s">
        <v>27</v>
      </c>
      <c r="J356" s="2" t="s">
        <v>43</v>
      </c>
      <c r="K356" s="2" t="s">
        <v>277</v>
      </c>
      <c r="L356" s="2" t="s">
        <v>397</v>
      </c>
      <c r="M356" s="2" t="s">
        <v>2282</v>
      </c>
      <c r="N356" s="2" t="n">
        <v>9</v>
      </c>
      <c r="O356" s="2" t="n">
        <v>0.1</v>
      </c>
      <c r="P356" s="2" t="n">
        <v>158.29</v>
      </c>
      <c r="Q356" s="2" t="n">
        <v>20.37</v>
      </c>
      <c r="R356" s="2" t="s">
        <v>324</v>
      </c>
      <c r="S356" s="2" t="s">
        <v>73</v>
      </c>
    </row>
    <row r="357" customFormat="false" ht="15" hidden="false" customHeight="false" outlineLevel="0" collapsed="false">
      <c r="A357" s="2" t="s">
        <v>2283</v>
      </c>
      <c r="B357" s="2" t="s">
        <v>2284</v>
      </c>
      <c r="C357" s="2" t="s">
        <v>2125</v>
      </c>
      <c r="D357" s="2" t="s">
        <v>2285</v>
      </c>
      <c r="E357" s="2" t="s">
        <v>2286</v>
      </c>
      <c r="F357" s="2" t="s">
        <v>149</v>
      </c>
      <c r="G357" s="2" t="s">
        <v>404</v>
      </c>
      <c r="H357" s="2" t="s">
        <v>365</v>
      </c>
      <c r="I357" s="2" t="s">
        <v>106</v>
      </c>
      <c r="J357" s="2" t="s">
        <v>93</v>
      </c>
      <c r="K357" s="2" t="s">
        <v>388</v>
      </c>
      <c r="L357" s="2" t="s">
        <v>465</v>
      </c>
      <c r="M357" s="2" t="s">
        <v>2287</v>
      </c>
      <c r="N357" s="2" t="n">
        <v>1</v>
      </c>
      <c r="O357" s="2" t="n">
        <v>0.4</v>
      </c>
      <c r="P357" s="2" t="n">
        <v>-0.43</v>
      </c>
      <c r="Q357" s="2"/>
      <c r="R357" s="2" t="s">
        <v>162</v>
      </c>
      <c r="S357" s="2" t="s">
        <v>110</v>
      </c>
    </row>
    <row r="358" customFormat="false" ht="15" hidden="false" customHeight="false" outlineLevel="0" collapsed="false">
      <c r="A358" s="2" t="s">
        <v>2288</v>
      </c>
      <c r="B358" s="2" t="s">
        <v>2289</v>
      </c>
      <c r="C358" s="2" t="s">
        <v>2290</v>
      </c>
      <c r="D358" s="2" t="s">
        <v>2291</v>
      </c>
      <c r="E358" s="2" t="s">
        <v>2292</v>
      </c>
      <c r="F358" s="2" t="s">
        <v>24</v>
      </c>
      <c r="G358" s="2" t="s">
        <v>1454</v>
      </c>
      <c r="H358" s="2" t="s">
        <v>26</v>
      </c>
      <c r="I358" s="2" t="s">
        <v>27</v>
      </c>
      <c r="J358" s="2" t="s">
        <v>244</v>
      </c>
      <c r="K358" s="2" t="s">
        <v>69</v>
      </c>
      <c r="L358" s="2" t="s">
        <v>70</v>
      </c>
      <c r="M358" s="2" t="s">
        <v>2293</v>
      </c>
      <c r="N358" s="2" t="n">
        <v>7</v>
      </c>
      <c r="O358" s="2" t="n">
        <v>0</v>
      </c>
      <c r="P358" s="2" t="n">
        <v>401.05</v>
      </c>
      <c r="Q358" s="2" t="n">
        <v>57.65</v>
      </c>
      <c r="R358" s="2" t="s">
        <v>440</v>
      </c>
      <c r="S358" s="2" t="s">
        <v>60</v>
      </c>
    </row>
    <row r="359" customFormat="false" ht="15" hidden="false" customHeight="false" outlineLevel="0" collapsed="false">
      <c r="A359" s="2" t="s">
        <v>2294</v>
      </c>
      <c r="B359" s="2" t="s">
        <v>2295</v>
      </c>
      <c r="C359" s="2" t="s">
        <v>2296</v>
      </c>
      <c r="D359" s="2" t="s">
        <v>2297</v>
      </c>
      <c r="E359" s="2" t="s">
        <v>2298</v>
      </c>
      <c r="F359" s="2" t="s">
        <v>39</v>
      </c>
      <c r="G359" s="2" t="s">
        <v>285</v>
      </c>
      <c r="H359" s="2" t="s">
        <v>286</v>
      </c>
      <c r="I359" s="2" t="s">
        <v>54</v>
      </c>
      <c r="J359" s="2" t="s">
        <v>82</v>
      </c>
      <c r="K359" s="2" t="s">
        <v>83</v>
      </c>
      <c r="L359" s="2" t="s">
        <v>84</v>
      </c>
      <c r="M359" s="2" t="s">
        <v>2299</v>
      </c>
      <c r="N359" s="2" t="n">
        <v>9</v>
      </c>
      <c r="O359" s="2" t="n">
        <v>0</v>
      </c>
      <c r="P359" s="2" t="n">
        <v>555.94</v>
      </c>
      <c r="Q359" s="2" t="n">
        <v>33.96</v>
      </c>
      <c r="R359" s="2" t="s">
        <v>109</v>
      </c>
      <c r="S359" s="2" t="s">
        <v>110</v>
      </c>
    </row>
    <row r="360" customFormat="false" ht="15" hidden="false" customHeight="false" outlineLevel="0" collapsed="false">
      <c r="A360" s="2" t="s">
        <v>2300</v>
      </c>
      <c r="B360" s="2" t="s">
        <v>2301</v>
      </c>
      <c r="C360" s="2" t="s">
        <v>2302</v>
      </c>
      <c r="D360" s="2" t="s">
        <v>2303</v>
      </c>
      <c r="E360" s="2" t="s">
        <v>2304</v>
      </c>
      <c r="F360" s="2" t="s">
        <v>179</v>
      </c>
      <c r="G360" s="2" t="s">
        <v>2037</v>
      </c>
      <c r="H360" s="2" t="s">
        <v>68</v>
      </c>
      <c r="I360" s="2" t="s">
        <v>42</v>
      </c>
      <c r="J360" s="2" t="s">
        <v>343</v>
      </c>
      <c r="K360" s="2" t="s">
        <v>118</v>
      </c>
      <c r="L360" s="2" t="s">
        <v>119</v>
      </c>
      <c r="M360" s="2" t="s">
        <v>2305</v>
      </c>
      <c r="N360" s="2" t="n">
        <v>8</v>
      </c>
      <c r="O360" s="2" t="n">
        <v>0.3</v>
      </c>
      <c r="P360" s="2" t="n">
        <v>74.2</v>
      </c>
      <c r="Q360" s="2" t="n">
        <v>5.13</v>
      </c>
      <c r="R360" s="2" t="s">
        <v>121</v>
      </c>
      <c r="S360" s="2" t="s">
        <v>60</v>
      </c>
    </row>
    <row r="361" customFormat="false" ht="15" hidden="false" customHeight="false" outlineLevel="0" collapsed="false">
      <c r="A361" s="2" t="s">
        <v>2306</v>
      </c>
      <c r="B361" s="2" t="s">
        <v>2307</v>
      </c>
      <c r="C361" s="2" t="s">
        <v>2308</v>
      </c>
      <c r="D361" s="2" t="s">
        <v>2309</v>
      </c>
      <c r="E361" s="2" t="s">
        <v>2310</v>
      </c>
      <c r="F361" s="2" t="s">
        <v>39</v>
      </c>
      <c r="G361" s="2"/>
      <c r="H361" s="2" t="s">
        <v>81</v>
      </c>
      <c r="I361" s="2" t="s">
        <v>42</v>
      </c>
      <c r="J361" s="2" t="s">
        <v>55</v>
      </c>
      <c r="K361" s="2" t="s">
        <v>277</v>
      </c>
      <c r="L361" s="2" t="s">
        <v>397</v>
      </c>
      <c r="M361" s="2" t="s">
        <v>2311</v>
      </c>
      <c r="N361" s="2" t="n">
        <v>6</v>
      </c>
      <c r="O361" s="2" t="n">
        <v>0.4</v>
      </c>
      <c r="P361" s="2" t="n">
        <v>-109.43</v>
      </c>
      <c r="Q361" s="2" t="n">
        <v>5.71</v>
      </c>
      <c r="R361" s="2" t="s">
        <v>32</v>
      </c>
      <c r="S361" s="2" t="s">
        <v>110</v>
      </c>
    </row>
    <row r="362" customFormat="false" ht="15" hidden="false" customHeight="false" outlineLevel="0" collapsed="false">
      <c r="A362" s="2" t="s">
        <v>2312</v>
      </c>
      <c r="B362" s="2" t="s">
        <v>1496</v>
      </c>
      <c r="C362" s="2" t="s">
        <v>2313</v>
      </c>
      <c r="D362" s="2" t="s">
        <v>2314</v>
      </c>
      <c r="E362" s="2" t="s">
        <v>2315</v>
      </c>
      <c r="F362" s="2" t="s">
        <v>39</v>
      </c>
      <c r="G362" s="2" t="s">
        <v>139</v>
      </c>
      <c r="H362" s="2" t="s">
        <v>140</v>
      </c>
      <c r="I362" s="2" t="s">
        <v>54</v>
      </c>
      <c r="J362" s="2" t="s">
        <v>387</v>
      </c>
      <c r="K362" s="2" t="s">
        <v>141</v>
      </c>
      <c r="L362" s="2" t="s">
        <v>142</v>
      </c>
      <c r="M362" s="2" t="s">
        <v>2316</v>
      </c>
      <c r="N362" s="2" t="n">
        <v>4</v>
      </c>
      <c r="O362" s="2" t="n">
        <v>0.3</v>
      </c>
      <c r="P362" s="2" t="n">
        <v>-1.56</v>
      </c>
      <c r="Q362" s="2" t="n">
        <v>35.1</v>
      </c>
      <c r="R362" s="2" t="s">
        <v>32</v>
      </c>
      <c r="S362" s="2" t="s">
        <v>110</v>
      </c>
    </row>
    <row r="363" customFormat="false" ht="15" hidden="false" customHeight="false" outlineLevel="0" collapsed="false">
      <c r="A363" s="2" t="s">
        <v>2317</v>
      </c>
      <c r="B363" s="2" t="s">
        <v>2318</v>
      </c>
      <c r="C363" s="2" t="s">
        <v>2319</v>
      </c>
      <c r="D363" s="2" t="s">
        <v>2320</v>
      </c>
      <c r="E363" s="2" t="s">
        <v>2321</v>
      </c>
      <c r="F363" s="2" t="s">
        <v>66</v>
      </c>
      <c r="G363" s="2" t="s">
        <v>521</v>
      </c>
      <c r="H363" s="2" t="s">
        <v>373</v>
      </c>
      <c r="I363" s="2" t="s">
        <v>27</v>
      </c>
      <c r="J363" s="2" t="s">
        <v>93</v>
      </c>
      <c r="K363" s="2" t="s">
        <v>388</v>
      </c>
      <c r="L363" s="2" t="s">
        <v>389</v>
      </c>
      <c r="M363" s="2" t="s">
        <v>2322</v>
      </c>
      <c r="N363" s="2" t="n">
        <v>7</v>
      </c>
      <c r="O363" s="2" t="n">
        <v>0.4</v>
      </c>
      <c r="P363" s="2" t="n">
        <v>1</v>
      </c>
      <c r="Q363" s="2" t="n">
        <v>36.65</v>
      </c>
      <c r="R363" s="2" t="s">
        <v>72</v>
      </c>
      <c r="S363" s="2" t="s">
        <v>33</v>
      </c>
    </row>
    <row r="364" customFormat="false" ht="15" hidden="false" customHeight="false" outlineLevel="0" collapsed="false">
      <c r="A364" s="2" t="s">
        <v>2323</v>
      </c>
      <c r="B364" s="2" t="s">
        <v>2324</v>
      </c>
      <c r="C364" s="2" t="s">
        <v>2325</v>
      </c>
      <c r="D364" s="2" t="s">
        <v>2326</v>
      </c>
      <c r="E364" s="2" t="s">
        <v>2327</v>
      </c>
      <c r="F364" s="2" t="s">
        <v>39</v>
      </c>
      <c r="G364" s="2" t="s">
        <v>2328</v>
      </c>
      <c r="H364" s="2" t="s">
        <v>117</v>
      </c>
      <c r="I364" s="2" t="s">
        <v>27</v>
      </c>
      <c r="J364" s="2" t="s">
        <v>343</v>
      </c>
      <c r="K364" s="2" t="s">
        <v>234</v>
      </c>
      <c r="L364" s="2" t="s">
        <v>344</v>
      </c>
      <c r="M364" s="2" t="s">
        <v>2329</v>
      </c>
      <c r="N364" s="2" t="n">
        <v>4</v>
      </c>
      <c r="O364" s="2" t="n">
        <v>0.3</v>
      </c>
      <c r="P364" s="2" t="n">
        <v>-33.37</v>
      </c>
      <c r="Q364" s="2" t="n">
        <v>6.59</v>
      </c>
      <c r="R364" s="2" t="s">
        <v>1863</v>
      </c>
      <c r="S364" s="2" t="s">
        <v>73</v>
      </c>
    </row>
    <row r="365" customFormat="false" ht="15" hidden="false" customHeight="false" outlineLevel="0" collapsed="false">
      <c r="A365" s="2" t="s">
        <v>2330</v>
      </c>
      <c r="B365" s="2" t="s">
        <v>2331</v>
      </c>
      <c r="C365" s="2" t="s">
        <v>2332</v>
      </c>
      <c r="D365" s="2" t="s">
        <v>2333</v>
      </c>
      <c r="E365" s="2" t="s">
        <v>2334</v>
      </c>
      <c r="F365" s="2" t="s">
        <v>594</v>
      </c>
      <c r="G365" s="2" t="s">
        <v>1506</v>
      </c>
      <c r="H365" s="2" t="s">
        <v>315</v>
      </c>
      <c r="I365" s="2" t="s">
        <v>54</v>
      </c>
      <c r="J365" s="2" t="s">
        <v>129</v>
      </c>
      <c r="K365" s="2" t="s">
        <v>130</v>
      </c>
      <c r="L365" s="2" t="s">
        <v>131</v>
      </c>
      <c r="M365" s="2" t="s">
        <v>2335</v>
      </c>
      <c r="N365" s="2" t="n">
        <v>11</v>
      </c>
      <c r="O365" s="2" t="n">
        <v>0.1</v>
      </c>
      <c r="P365" s="2" t="n">
        <v>134.5</v>
      </c>
      <c r="Q365" s="2"/>
      <c r="R365" s="2" t="s">
        <v>190</v>
      </c>
      <c r="S365" s="2" t="s">
        <v>110</v>
      </c>
    </row>
    <row r="366" customFormat="false" ht="15" hidden="false" customHeight="false" outlineLevel="0" collapsed="false">
      <c r="A366" s="2" t="s">
        <v>2336</v>
      </c>
      <c r="B366" s="2" t="s">
        <v>2337</v>
      </c>
      <c r="C366" s="2" t="s">
        <v>2338</v>
      </c>
      <c r="D366" s="2" t="s">
        <v>2339</v>
      </c>
      <c r="E366" s="2" t="s">
        <v>2340</v>
      </c>
      <c r="F366" s="2" t="s">
        <v>39</v>
      </c>
      <c r="G366" s="2" t="s">
        <v>2341</v>
      </c>
      <c r="H366" s="2" t="s">
        <v>105</v>
      </c>
      <c r="I366" s="2" t="s">
        <v>106</v>
      </c>
      <c r="J366" s="2" t="s">
        <v>129</v>
      </c>
      <c r="K366" s="2" t="s">
        <v>130</v>
      </c>
      <c r="L366" s="2" t="s">
        <v>522</v>
      </c>
      <c r="M366" s="2" t="s">
        <v>2342</v>
      </c>
      <c r="N366" s="2" t="n">
        <v>2</v>
      </c>
      <c r="O366" s="2" t="n">
        <v>0.15</v>
      </c>
      <c r="P366" s="2" t="n">
        <v>0.06</v>
      </c>
      <c r="Q366" s="2" t="n">
        <v>50.07</v>
      </c>
      <c r="R366" s="2" t="s">
        <v>47</v>
      </c>
      <c r="S366" s="2" t="s">
        <v>73</v>
      </c>
    </row>
    <row r="367" customFormat="false" ht="15" hidden="false" customHeight="false" outlineLevel="0" collapsed="false">
      <c r="A367" s="2" t="s">
        <v>2343</v>
      </c>
      <c r="B367" s="2" t="s">
        <v>2344</v>
      </c>
      <c r="C367" s="2" t="s">
        <v>2345</v>
      </c>
      <c r="D367" s="2" t="s">
        <v>2346</v>
      </c>
      <c r="E367" s="2" t="s">
        <v>2347</v>
      </c>
      <c r="F367" s="2" t="s">
        <v>196</v>
      </c>
      <c r="G367" s="2" t="s">
        <v>1400</v>
      </c>
      <c r="H367" s="2" t="s">
        <v>128</v>
      </c>
      <c r="I367" s="2" t="s">
        <v>42</v>
      </c>
      <c r="J367" s="2" t="s">
        <v>55</v>
      </c>
      <c r="K367" s="2" t="s">
        <v>56</v>
      </c>
      <c r="L367" s="2" t="s">
        <v>307</v>
      </c>
      <c r="M367" s="2" t="s">
        <v>2348</v>
      </c>
      <c r="N367" s="2" t="n">
        <v>3</v>
      </c>
      <c r="O367" s="2" t="n">
        <v>0</v>
      </c>
      <c r="P367" s="2" t="n">
        <v>55.15</v>
      </c>
      <c r="Q367" s="2" t="n">
        <v>59.38</v>
      </c>
      <c r="R367" s="2" t="s">
        <v>162</v>
      </c>
      <c r="S367" s="2" t="s">
        <v>60</v>
      </c>
    </row>
    <row r="368" customFormat="false" ht="15" hidden="false" customHeight="false" outlineLevel="0" collapsed="false">
      <c r="A368" s="2" t="s">
        <v>2349</v>
      </c>
      <c r="B368" s="2" t="s">
        <v>532</v>
      </c>
      <c r="C368" s="2" t="s">
        <v>2350</v>
      </c>
      <c r="D368" s="2" t="s">
        <v>969</v>
      </c>
      <c r="E368" s="2" t="s">
        <v>970</v>
      </c>
      <c r="F368" s="2" t="s">
        <v>79</v>
      </c>
      <c r="G368" s="2" t="s">
        <v>52</v>
      </c>
      <c r="H368" s="2" t="s">
        <v>53</v>
      </c>
      <c r="I368" s="2" t="s">
        <v>54</v>
      </c>
      <c r="J368" s="2" t="s">
        <v>244</v>
      </c>
      <c r="K368" s="2" t="s">
        <v>56</v>
      </c>
      <c r="L368" s="2" t="s">
        <v>57</v>
      </c>
      <c r="M368" s="2" t="s">
        <v>2351</v>
      </c>
      <c r="N368" s="2" t="n">
        <v>2</v>
      </c>
      <c r="O368" s="2" t="n">
        <v>0.15</v>
      </c>
      <c r="P368" s="2" t="n">
        <v>45.18</v>
      </c>
      <c r="Q368" s="2" t="n">
        <v>32.94</v>
      </c>
      <c r="R368" s="2" t="s">
        <v>162</v>
      </c>
      <c r="S368" s="2" t="s">
        <v>110</v>
      </c>
    </row>
    <row r="369" customFormat="false" ht="15" hidden="false" customHeight="false" outlineLevel="0" collapsed="false">
      <c r="A369" s="2" t="s">
        <v>2352</v>
      </c>
      <c r="B369" s="2" t="s">
        <v>2353</v>
      </c>
      <c r="C369" s="2" t="s">
        <v>2354</v>
      </c>
      <c r="D369" s="2" t="s">
        <v>2355</v>
      </c>
      <c r="E369" s="2" t="s">
        <v>2356</v>
      </c>
      <c r="F369" s="2" t="s">
        <v>39</v>
      </c>
      <c r="G369" s="2" t="s">
        <v>2341</v>
      </c>
      <c r="H369" s="2" t="s">
        <v>105</v>
      </c>
      <c r="I369" s="2" t="s">
        <v>106</v>
      </c>
      <c r="J369" s="2" t="s">
        <v>55</v>
      </c>
      <c r="K369" s="2" t="s">
        <v>56</v>
      </c>
      <c r="L369" s="2" t="s">
        <v>307</v>
      </c>
      <c r="M369" s="2" t="s">
        <v>2357</v>
      </c>
      <c r="N369" s="2" t="n">
        <v>8</v>
      </c>
      <c r="O369" s="2" t="n">
        <v>0.1</v>
      </c>
      <c r="P369" s="2" t="n">
        <v>228.63</v>
      </c>
      <c r="Q369" s="2" t="n">
        <v>41.78</v>
      </c>
      <c r="R369" s="2" t="s">
        <v>72</v>
      </c>
      <c r="S369" s="2" t="s">
        <v>110</v>
      </c>
    </row>
    <row r="370" customFormat="false" ht="15" hidden="false" customHeight="false" outlineLevel="0" collapsed="false">
      <c r="A370" s="2" t="s">
        <v>2358</v>
      </c>
      <c r="B370" s="2" t="s">
        <v>2180</v>
      </c>
      <c r="C370" s="2" t="s">
        <v>2359</v>
      </c>
      <c r="D370" s="2" t="s">
        <v>2360</v>
      </c>
      <c r="E370" s="2" t="s">
        <v>2361</v>
      </c>
      <c r="F370" s="2" t="s">
        <v>39</v>
      </c>
      <c r="G370" s="2" t="s">
        <v>1100</v>
      </c>
      <c r="H370" s="2" t="s">
        <v>41</v>
      </c>
      <c r="I370" s="2" t="s">
        <v>42</v>
      </c>
      <c r="J370" s="2" t="s">
        <v>217</v>
      </c>
      <c r="K370" s="2" t="s">
        <v>94</v>
      </c>
      <c r="L370" s="2" t="s">
        <v>152</v>
      </c>
      <c r="M370" s="2" t="s">
        <v>2362</v>
      </c>
      <c r="N370" s="2" t="n">
        <v>6</v>
      </c>
      <c r="O370" s="2" t="n">
        <v>0</v>
      </c>
      <c r="P370" s="2" t="n">
        <v>83.65</v>
      </c>
      <c r="Q370" s="2" t="n">
        <v>45.87</v>
      </c>
      <c r="R370" s="2" t="s">
        <v>72</v>
      </c>
      <c r="S370" s="2" t="s">
        <v>33</v>
      </c>
    </row>
    <row r="371" customFormat="false" ht="15" hidden="false" customHeight="false" outlineLevel="0" collapsed="false">
      <c r="A371" s="2" t="s">
        <v>2363</v>
      </c>
      <c r="B371" s="2" t="s">
        <v>2364</v>
      </c>
      <c r="C371" s="2" t="s">
        <v>1546</v>
      </c>
      <c r="D371" s="2" t="s">
        <v>1936</v>
      </c>
      <c r="E371" s="2" t="s">
        <v>1937</v>
      </c>
      <c r="F371" s="2" t="s">
        <v>66</v>
      </c>
      <c r="G371" s="2" t="s">
        <v>464</v>
      </c>
      <c r="H371" s="2" t="s">
        <v>299</v>
      </c>
      <c r="I371" s="2" t="s">
        <v>42</v>
      </c>
      <c r="J371" s="2" t="s">
        <v>93</v>
      </c>
      <c r="K371" s="2" t="s">
        <v>388</v>
      </c>
      <c r="L371" s="2" t="s">
        <v>389</v>
      </c>
      <c r="M371" s="2" t="s">
        <v>2365</v>
      </c>
      <c r="N371" s="2" t="n">
        <v>12</v>
      </c>
      <c r="O371" s="2" t="n">
        <v>0</v>
      </c>
      <c r="P371" s="2" t="n">
        <v>96.6</v>
      </c>
      <c r="Q371" s="2" t="n">
        <v>6.29</v>
      </c>
      <c r="R371" s="2" t="s">
        <v>121</v>
      </c>
      <c r="S371" s="2" t="s">
        <v>73</v>
      </c>
    </row>
    <row r="372" customFormat="false" ht="15" hidden="false" customHeight="false" outlineLevel="0" collapsed="false">
      <c r="A372" s="2" t="s">
        <v>2366</v>
      </c>
      <c r="B372" s="2" t="s">
        <v>2367</v>
      </c>
      <c r="C372" s="2" t="s">
        <v>525</v>
      </c>
      <c r="D372" s="2" t="s">
        <v>2368</v>
      </c>
      <c r="E372" s="2" t="s">
        <v>2369</v>
      </c>
      <c r="F372" s="2" t="s">
        <v>24</v>
      </c>
      <c r="G372" s="2" t="s">
        <v>1359</v>
      </c>
      <c r="H372" s="2" t="s">
        <v>209</v>
      </c>
      <c r="I372" s="2" t="s">
        <v>27</v>
      </c>
      <c r="J372" s="2" t="s">
        <v>55</v>
      </c>
      <c r="K372" s="2" t="s">
        <v>277</v>
      </c>
      <c r="L372" s="2" t="s">
        <v>278</v>
      </c>
      <c r="M372" s="2" t="s">
        <v>2370</v>
      </c>
      <c r="N372" s="2" t="n">
        <v>10</v>
      </c>
      <c r="O372" s="2" t="n">
        <v>0.1</v>
      </c>
      <c r="P372" s="2" t="n">
        <v>532.49</v>
      </c>
      <c r="Q372" s="2" t="n">
        <v>47.04</v>
      </c>
      <c r="R372" s="2" t="s">
        <v>133</v>
      </c>
      <c r="S372" s="2" t="s">
        <v>33</v>
      </c>
    </row>
    <row r="373" customFormat="false" ht="15" hidden="false" customHeight="false" outlineLevel="0" collapsed="false">
      <c r="A373" s="2" t="s">
        <v>2371</v>
      </c>
      <c r="B373" s="2" t="s">
        <v>2372</v>
      </c>
      <c r="C373" s="2" t="s">
        <v>2373</v>
      </c>
      <c r="D373" s="2" t="s">
        <v>2374</v>
      </c>
      <c r="E373" s="2" t="s">
        <v>2375</v>
      </c>
      <c r="F373" s="2" t="s">
        <v>39</v>
      </c>
      <c r="G373" s="2" t="s">
        <v>521</v>
      </c>
      <c r="H373" s="2" t="s">
        <v>373</v>
      </c>
      <c r="I373" s="2" t="s">
        <v>27</v>
      </c>
      <c r="J373" s="2" t="s">
        <v>244</v>
      </c>
      <c r="K373" s="2" t="s">
        <v>56</v>
      </c>
      <c r="L373" s="2" t="s">
        <v>307</v>
      </c>
      <c r="M373" s="2" t="s">
        <v>2376</v>
      </c>
      <c r="N373" s="2" t="n">
        <v>4</v>
      </c>
      <c r="O373" s="2" t="n">
        <v>0.1</v>
      </c>
      <c r="P373" s="2" t="n">
        <v>20.91</v>
      </c>
      <c r="Q373" s="2" t="n">
        <v>18.56</v>
      </c>
      <c r="R373" s="2" t="s">
        <v>72</v>
      </c>
      <c r="S373" s="2" t="s">
        <v>60</v>
      </c>
    </row>
    <row r="374" customFormat="false" ht="15" hidden="false" customHeight="false" outlineLevel="0" collapsed="false">
      <c r="A374" s="2" t="s">
        <v>2377</v>
      </c>
      <c r="B374" s="2" t="s">
        <v>2378</v>
      </c>
      <c r="C374" s="2" t="s">
        <v>2379</v>
      </c>
      <c r="D374" s="2" t="s">
        <v>2380</v>
      </c>
      <c r="E374" s="2" t="s">
        <v>2381</v>
      </c>
      <c r="F374" s="2" t="s">
        <v>103</v>
      </c>
      <c r="G374" s="2" t="s">
        <v>2382</v>
      </c>
      <c r="H374" s="2" t="s">
        <v>160</v>
      </c>
      <c r="I374" s="2" t="s">
        <v>27</v>
      </c>
      <c r="J374" s="2" t="s">
        <v>28</v>
      </c>
      <c r="K374" s="2" t="s">
        <v>29</v>
      </c>
      <c r="L374" s="2" t="s">
        <v>30</v>
      </c>
      <c r="M374" s="2" t="s">
        <v>2383</v>
      </c>
      <c r="N374" s="2" t="n">
        <v>6</v>
      </c>
      <c r="O374" s="2" t="n">
        <v>0.2</v>
      </c>
      <c r="P374" s="2" t="n">
        <v>308.07</v>
      </c>
      <c r="Q374" s="2" t="n">
        <v>57.62</v>
      </c>
      <c r="R374" s="2" t="s">
        <v>47</v>
      </c>
      <c r="S374" s="2" t="s">
        <v>33</v>
      </c>
    </row>
    <row r="375" customFormat="false" ht="15" hidden="false" customHeight="false" outlineLevel="0" collapsed="false">
      <c r="A375" s="2" t="s">
        <v>2384</v>
      </c>
      <c r="B375" s="2" t="s">
        <v>2385</v>
      </c>
      <c r="C375" s="2" t="s">
        <v>2386</v>
      </c>
      <c r="D375" s="2" t="s">
        <v>1926</v>
      </c>
      <c r="E375" s="2" t="s">
        <v>1927</v>
      </c>
      <c r="F375" s="2" t="s">
        <v>196</v>
      </c>
      <c r="G375" s="2" t="s">
        <v>2387</v>
      </c>
      <c r="H375" s="2" t="s">
        <v>373</v>
      </c>
      <c r="I375" s="2" t="s">
        <v>27</v>
      </c>
      <c r="J375" s="2" t="s">
        <v>387</v>
      </c>
      <c r="K375" s="2" t="s">
        <v>199</v>
      </c>
      <c r="L375" s="2" t="s">
        <v>200</v>
      </c>
      <c r="M375" s="2" t="s">
        <v>2388</v>
      </c>
      <c r="N375" s="2" t="n">
        <v>6</v>
      </c>
      <c r="O375" s="2" t="n">
        <v>0</v>
      </c>
      <c r="P375" s="2" t="n">
        <v>18.35</v>
      </c>
      <c r="Q375" s="2" t="n">
        <v>45.26</v>
      </c>
      <c r="R375" s="2" t="s">
        <v>133</v>
      </c>
      <c r="S375" s="2" t="s">
        <v>110</v>
      </c>
    </row>
    <row r="376" customFormat="false" ht="15" hidden="false" customHeight="false" outlineLevel="0" collapsed="false">
      <c r="A376" s="2" t="s">
        <v>2389</v>
      </c>
      <c r="B376" s="2" t="s">
        <v>2390</v>
      </c>
      <c r="C376" s="2" t="s">
        <v>2391</v>
      </c>
      <c r="D376" s="2" t="s">
        <v>2392</v>
      </c>
      <c r="E376" s="2" t="s">
        <v>2393</v>
      </c>
      <c r="F376" s="2" t="s">
        <v>24</v>
      </c>
      <c r="G376" s="2" t="s">
        <v>652</v>
      </c>
      <c r="H376" s="2" t="s">
        <v>160</v>
      </c>
      <c r="I376" s="2" t="s">
        <v>27</v>
      </c>
      <c r="J376" s="2" t="s">
        <v>343</v>
      </c>
      <c r="K376" s="2" t="s">
        <v>29</v>
      </c>
      <c r="L376" s="2" t="s">
        <v>374</v>
      </c>
      <c r="M376" s="2" t="s">
        <v>2394</v>
      </c>
      <c r="N376" s="2" t="n">
        <v>5</v>
      </c>
      <c r="O376" s="2" t="n">
        <v>0.4</v>
      </c>
      <c r="P376" s="2" t="n">
        <v>-139.82</v>
      </c>
      <c r="Q376" s="2" t="n">
        <v>10.4</v>
      </c>
      <c r="R376" s="2" t="s">
        <v>72</v>
      </c>
      <c r="S376" s="2" t="s">
        <v>73</v>
      </c>
    </row>
    <row r="377" customFormat="false" ht="15" hidden="false" customHeight="false" outlineLevel="0" collapsed="false">
      <c r="A377" s="2" t="s">
        <v>2395</v>
      </c>
      <c r="B377" s="2" t="s">
        <v>2396</v>
      </c>
      <c r="C377" s="2" t="s">
        <v>2397</v>
      </c>
      <c r="D377" s="2" t="s">
        <v>2398</v>
      </c>
      <c r="E377" s="2" t="s">
        <v>2399</v>
      </c>
      <c r="F377" s="2" t="s">
        <v>39</v>
      </c>
      <c r="G377" s="2" t="s">
        <v>197</v>
      </c>
      <c r="H377" s="2" t="s">
        <v>198</v>
      </c>
      <c r="I377" s="2" t="s">
        <v>106</v>
      </c>
      <c r="J377" s="2" t="s">
        <v>387</v>
      </c>
      <c r="K377" s="2" t="s">
        <v>199</v>
      </c>
      <c r="L377" s="2" t="s">
        <v>200</v>
      </c>
      <c r="M377" s="2" t="s">
        <v>2400</v>
      </c>
      <c r="N377" s="2" t="n">
        <v>7</v>
      </c>
      <c r="O377" s="2" t="n">
        <v>0</v>
      </c>
      <c r="P377" s="2" t="n">
        <v>37.66</v>
      </c>
      <c r="Q377" s="2" t="n">
        <v>58.01</v>
      </c>
      <c r="R377" s="2" t="s">
        <v>133</v>
      </c>
      <c r="S377" s="2" t="s">
        <v>60</v>
      </c>
    </row>
    <row r="378" customFormat="false" ht="15" hidden="false" customHeight="false" outlineLevel="0" collapsed="false">
      <c r="A378" s="2" t="s">
        <v>2401</v>
      </c>
      <c r="B378" s="2" t="s">
        <v>2402</v>
      </c>
      <c r="C378" s="2" t="s">
        <v>2403</v>
      </c>
      <c r="D378" s="2" t="s">
        <v>2255</v>
      </c>
      <c r="E378" s="2" t="s">
        <v>2256</v>
      </c>
      <c r="F378" s="2" t="s">
        <v>179</v>
      </c>
      <c r="G378" s="2" t="s">
        <v>494</v>
      </c>
      <c r="H378" s="2" t="s">
        <v>117</v>
      </c>
      <c r="I378" s="2" t="s">
        <v>27</v>
      </c>
      <c r="J378" s="2" t="s">
        <v>55</v>
      </c>
      <c r="K378" s="2" t="s">
        <v>277</v>
      </c>
      <c r="L378" s="2" t="s">
        <v>278</v>
      </c>
      <c r="M378" s="2" t="s">
        <v>2404</v>
      </c>
      <c r="N378" s="2" t="n">
        <v>9</v>
      </c>
      <c r="O378" s="2" t="n">
        <v>0.3</v>
      </c>
      <c r="P378" s="2" t="n">
        <v>132.45</v>
      </c>
      <c r="Q378" s="2" t="n">
        <v>43.93</v>
      </c>
      <c r="R378" s="2" t="s">
        <v>324</v>
      </c>
      <c r="S378" s="2" t="s">
        <v>60</v>
      </c>
    </row>
    <row r="379" customFormat="false" ht="15" hidden="false" customHeight="false" outlineLevel="0" collapsed="false">
      <c r="A379" s="2" t="s">
        <v>2405</v>
      </c>
      <c r="B379" s="2" t="s">
        <v>2406</v>
      </c>
      <c r="C379" s="2" t="s">
        <v>526</v>
      </c>
      <c r="D379" s="2" t="s">
        <v>2268</v>
      </c>
      <c r="E379" s="2" t="s">
        <v>2269</v>
      </c>
      <c r="F379" s="2" t="s">
        <v>594</v>
      </c>
      <c r="G379" s="2" t="s">
        <v>922</v>
      </c>
      <c r="H379" s="2" t="s">
        <v>53</v>
      </c>
      <c r="I379" s="2" t="s">
        <v>54</v>
      </c>
      <c r="J379" s="2" t="s">
        <v>82</v>
      </c>
      <c r="K379" s="2" t="s">
        <v>83</v>
      </c>
      <c r="L379" s="2" t="s">
        <v>569</v>
      </c>
      <c r="M379" s="2" t="s">
        <v>2407</v>
      </c>
      <c r="N379" s="2" t="n">
        <v>2</v>
      </c>
      <c r="O379" s="2" t="n">
        <v>0.5</v>
      </c>
      <c r="P379" s="2" t="n">
        <v>-423.77</v>
      </c>
      <c r="Q379" s="2" t="n">
        <v>44.79</v>
      </c>
      <c r="R379" s="2" t="s">
        <v>86</v>
      </c>
      <c r="S379" s="2" t="s">
        <v>110</v>
      </c>
    </row>
    <row r="380" customFormat="false" ht="15" hidden="false" customHeight="false" outlineLevel="0" collapsed="false">
      <c r="A380" s="2" t="s">
        <v>2408</v>
      </c>
      <c r="B380" s="2" t="s">
        <v>2409</v>
      </c>
      <c r="C380" s="2" t="s">
        <v>2410</v>
      </c>
      <c r="D380" s="2" t="s">
        <v>2411</v>
      </c>
      <c r="E380" s="2" t="s">
        <v>2412</v>
      </c>
      <c r="F380" s="2" t="s">
        <v>782</v>
      </c>
      <c r="G380" s="2" t="s">
        <v>1022</v>
      </c>
      <c r="H380" s="2" t="s">
        <v>68</v>
      </c>
      <c r="I380" s="2" t="s">
        <v>42</v>
      </c>
      <c r="J380" s="2" t="s">
        <v>343</v>
      </c>
      <c r="K380" s="2" t="s">
        <v>83</v>
      </c>
      <c r="L380" s="2" t="s">
        <v>569</v>
      </c>
      <c r="M380" s="2" t="s">
        <v>2413</v>
      </c>
      <c r="N380" s="2" t="n">
        <v>1</v>
      </c>
      <c r="O380" s="2" t="n">
        <v>0</v>
      </c>
      <c r="P380" s="2" t="n">
        <v>92.48</v>
      </c>
      <c r="Q380" s="2" t="n">
        <v>43.65</v>
      </c>
      <c r="R380" s="2" t="s">
        <v>109</v>
      </c>
      <c r="S380" s="2" t="s">
        <v>33</v>
      </c>
    </row>
    <row r="381" customFormat="false" ht="15" hidden="false" customHeight="false" outlineLevel="0" collapsed="false">
      <c r="A381" s="2" t="s">
        <v>2414</v>
      </c>
      <c r="B381" s="2" t="s">
        <v>1527</v>
      </c>
      <c r="C381" s="2" t="s">
        <v>1713</v>
      </c>
      <c r="D381" s="2" t="s">
        <v>2415</v>
      </c>
      <c r="E381" s="2" t="s">
        <v>2416</v>
      </c>
      <c r="F381" s="2" t="s">
        <v>149</v>
      </c>
      <c r="G381" s="2" t="s">
        <v>908</v>
      </c>
      <c r="H381" s="2" t="s">
        <v>53</v>
      </c>
      <c r="I381" s="2" t="s">
        <v>54</v>
      </c>
      <c r="J381" s="2" t="s">
        <v>129</v>
      </c>
      <c r="K381" s="2" t="s">
        <v>170</v>
      </c>
      <c r="L381" s="2" t="s">
        <v>171</v>
      </c>
      <c r="M381" s="2" t="s">
        <v>2417</v>
      </c>
      <c r="N381" s="2" t="n">
        <v>11</v>
      </c>
      <c r="O381" s="2" t="n">
        <v>0.1</v>
      </c>
      <c r="P381" s="2" t="n">
        <v>43.02</v>
      </c>
      <c r="Q381" s="2" t="n">
        <v>30.98</v>
      </c>
      <c r="R381" s="2" t="s">
        <v>133</v>
      </c>
      <c r="S381" s="2" t="s">
        <v>60</v>
      </c>
    </row>
    <row r="382" customFormat="false" ht="15" hidden="false" customHeight="false" outlineLevel="0" collapsed="false">
      <c r="A382" s="2" t="s">
        <v>2418</v>
      </c>
      <c r="B382" s="2" t="s">
        <v>2419</v>
      </c>
      <c r="C382" s="2" t="s">
        <v>2420</v>
      </c>
      <c r="D382" s="2" t="s">
        <v>2421</v>
      </c>
      <c r="E382" s="2" t="s">
        <v>2422</v>
      </c>
      <c r="F382" s="2" t="s">
        <v>39</v>
      </c>
      <c r="G382" s="2" t="s">
        <v>2423</v>
      </c>
      <c r="H382" s="2" t="s">
        <v>169</v>
      </c>
      <c r="I382" s="2" t="s">
        <v>106</v>
      </c>
      <c r="J382" s="2" t="s">
        <v>387</v>
      </c>
      <c r="K382" s="2" t="s">
        <v>388</v>
      </c>
      <c r="L382" s="2" t="s">
        <v>465</v>
      </c>
      <c r="M382" s="2" t="s">
        <v>2424</v>
      </c>
      <c r="N382" s="2" t="n">
        <v>2</v>
      </c>
      <c r="O382" s="2" t="n">
        <v>0.4</v>
      </c>
      <c r="P382" s="2" t="n">
        <v>-1.2</v>
      </c>
      <c r="Q382" s="2" t="n">
        <v>12.75</v>
      </c>
      <c r="R382" s="2" t="s">
        <v>190</v>
      </c>
      <c r="S382" s="2" t="s">
        <v>110</v>
      </c>
    </row>
    <row r="383" customFormat="false" ht="15" hidden="false" customHeight="false" outlineLevel="0" collapsed="false">
      <c r="A383" s="2" t="s">
        <v>2425</v>
      </c>
      <c r="B383" s="2" t="s">
        <v>2426</v>
      </c>
      <c r="C383" s="2" t="s">
        <v>1040</v>
      </c>
      <c r="D383" s="2" t="s">
        <v>2005</v>
      </c>
      <c r="E383" s="2" t="s">
        <v>2006</v>
      </c>
      <c r="F383" s="2" t="s">
        <v>39</v>
      </c>
      <c r="G383" s="2" t="s">
        <v>464</v>
      </c>
      <c r="H383" s="2" t="s">
        <v>299</v>
      </c>
      <c r="I383" s="2" t="s">
        <v>42</v>
      </c>
      <c r="J383" s="2" t="s">
        <v>217</v>
      </c>
      <c r="K383" s="2" t="s">
        <v>388</v>
      </c>
      <c r="L383" s="2" t="s">
        <v>1186</v>
      </c>
      <c r="M383" s="2" t="s">
        <v>2427</v>
      </c>
      <c r="N383" s="2" t="n">
        <v>9</v>
      </c>
      <c r="O383" s="2" t="n">
        <v>0</v>
      </c>
      <c r="P383" s="2" t="n">
        <v>215.62</v>
      </c>
      <c r="Q383" s="2" t="n">
        <v>33.57</v>
      </c>
      <c r="R383" s="2" t="s">
        <v>72</v>
      </c>
      <c r="S383" s="2" t="s">
        <v>60</v>
      </c>
    </row>
    <row r="384" customFormat="false" ht="15" hidden="false" customHeight="false" outlineLevel="0" collapsed="false">
      <c r="A384" s="2" t="s">
        <v>2428</v>
      </c>
      <c r="B384" s="2" t="s">
        <v>2429</v>
      </c>
      <c r="C384" s="2" t="s">
        <v>2430</v>
      </c>
      <c r="D384" s="2" t="s">
        <v>1778</v>
      </c>
      <c r="E384" s="2" t="s">
        <v>1779</v>
      </c>
      <c r="F384" s="2" t="s">
        <v>66</v>
      </c>
      <c r="G384" s="2" t="s">
        <v>1885</v>
      </c>
      <c r="H384" s="2" t="s">
        <v>365</v>
      </c>
      <c r="I384" s="2" t="s">
        <v>106</v>
      </c>
      <c r="J384" s="2" t="s">
        <v>129</v>
      </c>
      <c r="K384" s="2" t="s">
        <v>141</v>
      </c>
      <c r="L384" s="2" t="s">
        <v>142</v>
      </c>
      <c r="M384" s="2" t="s">
        <v>2431</v>
      </c>
      <c r="N384" s="2" t="n">
        <v>10</v>
      </c>
      <c r="O384" s="2" t="n">
        <v>0</v>
      </c>
      <c r="P384" s="2" t="n">
        <v>19.03</v>
      </c>
      <c r="Q384" s="2" t="n">
        <v>48.96</v>
      </c>
      <c r="R384" s="2" t="s">
        <v>109</v>
      </c>
      <c r="S384" s="2" t="s">
        <v>60</v>
      </c>
    </row>
    <row r="385" customFormat="false" ht="15" hidden="false" customHeight="false" outlineLevel="0" collapsed="false">
      <c r="A385" s="2" t="s">
        <v>2432</v>
      </c>
      <c r="B385" s="2" t="s">
        <v>2433</v>
      </c>
      <c r="C385" s="2" t="s">
        <v>2434</v>
      </c>
      <c r="D385" s="2" t="s">
        <v>2435</v>
      </c>
      <c r="E385" s="2" t="s">
        <v>2436</v>
      </c>
      <c r="F385" s="2" t="s">
        <v>196</v>
      </c>
      <c r="G385" s="2"/>
      <c r="H385" s="2" t="s">
        <v>26</v>
      </c>
      <c r="I385" s="2" t="s">
        <v>27</v>
      </c>
      <c r="J385" s="2" t="s">
        <v>188</v>
      </c>
      <c r="K385" s="2" t="s">
        <v>69</v>
      </c>
      <c r="L385" s="2" t="s">
        <v>107</v>
      </c>
      <c r="M385" s="2" t="s">
        <v>2437</v>
      </c>
      <c r="N385" s="2" t="n">
        <v>7</v>
      </c>
      <c r="O385" s="2" t="n">
        <v>0.5</v>
      </c>
      <c r="P385" s="2" t="n">
        <v>-55.09</v>
      </c>
      <c r="Q385" s="2" t="n">
        <v>7.6</v>
      </c>
      <c r="R385" s="2" t="s">
        <v>47</v>
      </c>
      <c r="S385" s="2" t="s">
        <v>33</v>
      </c>
    </row>
    <row r="386" customFormat="false" ht="15" hidden="false" customHeight="false" outlineLevel="0" collapsed="false">
      <c r="A386" s="2" t="s">
        <v>2438</v>
      </c>
      <c r="B386" s="2" t="s">
        <v>2439</v>
      </c>
      <c r="C386" s="2" t="s">
        <v>2440</v>
      </c>
      <c r="D386" s="2" t="s">
        <v>2441</v>
      </c>
      <c r="E386" s="2" t="s">
        <v>2442</v>
      </c>
      <c r="F386" s="2" t="s">
        <v>66</v>
      </c>
      <c r="G386" s="2" t="s">
        <v>1068</v>
      </c>
      <c r="H386" s="2" t="s">
        <v>53</v>
      </c>
      <c r="I386" s="2" t="s">
        <v>54</v>
      </c>
      <c r="J386" s="2" t="s">
        <v>82</v>
      </c>
      <c r="K386" s="2" t="s">
        <v>118</v>
      </c>
      <c r="L386" s="2" t="s">
        <v>251</v>
      </c>
      <c r="M386" s="2" t="s">
        <v>2443</v>
      </c>
      <c r="N386" s="2" t="n">
        <v>11</v>
      </c>
      <c r="O386" s="2" t="n">
        <v>0</v>
      </c>
      <c r="P386" s="2" t="n">
        <v>2759.53</v>
      </c>
      <c r="Q386" s="2" t="n">
        <v>40.5</v>
      </c>
      <c r="R386" s="2" t="s">
        <v>86</v>
      </c>
      <c r="S386" s="2" t="s">
        <v>60</v>
      </c>
    </row>
    <row r="387" customFormat="false" ht="15" hidden="false" customHeight="false" outlineLevel="0" collapsed="false">
      <c r="A387" s="2" t="s">
        <v>2444</v>
      </c>
      <c r="B387" s="2" t="s">
        <v>2445</v>
      </c>
      <c r="C387" s="2" t="s">
        <v>2446</v>
      </c>
      <c r="D387" s="2" t="s">
        <v>2447</v>
      </c>
      <c r="E387" s="2" t="s">
        <v>2448</v>
      </c>
      <c r="F387" s="2" t="s">
        <v>267</v>
      </c>
      <c r="G387" s="2" t="s">
        <v>620</v>
      </c>
      <c r="H387" s="2" t="s">
        <v>68</v>
      </c>
      <c r="I387" s="2" t="s">
        <v>42</v>
      </c>
      <c r="J387" s="2" t="s">
        <v>55</v>
      </c>
      <c r="K387" s="2" t="s">
        <v>44</v>
      </c>
      <c r="L387" s="2" t="s">
        <v>351</v>
      </c>
      <c r="M387" s="2" t="s">
        <v>2449</v>
      </c>
      <c r="N387" s="2" t="n">
        <v>6</v>
      </c>
      <c r="O387" s="2" t="n">
        <v>0</v>
      </c>
      <c r="P387" s="2" t="n">
        <v>1144.41</v>
      </c>
      <c r="Q387" s="2" t="n">
        <v>34.27</v>
      </c>
      <c r="R387" s="2" t="s">
        <v>133</v>
      </c>
      <c r="S387" s="2" t="s">
        <v>110</v>
      </c>
    </row>
    <row r="388" customFormat="false" ht="15" hidden="false" customHeight="false" outlineLevel="0" collapsed="false">
      <c r="A388" s="2" t="s">
        <v>2450</v>
      </c>
      <c r="B388" s="2" t="s">
        <v>2451</v>
      </c>
      <c r="C388" s="2" t="s">
        <v>1220</v>
      </c>
      <c r="D388" s="2" t="s">
        <v>2219</v>
      </c>
      <c r="E388" s="2" t="s">
        <v>2220</v>
      </c>
      <c r="F388" s="2" t="s">
        <v>103</v>
      </c>
      <c r="G388" s="2" t="s">
        <v>1359</v>
      </c>
      <c r="H388" s="2" t="s">
        <v>209</v>
      </c>
      <c r="I388" s="2" t="s">
        <v>27</v>
      </c>
      <c r="J388" s="2" t="s">
        <v>343</v>
      </c>
      <c r="K388" s="2" t="s">
        <v>234</v>
      </c>
      <c r="L388" s="2" t="s">
        <v>495</v>
      </c>
      <c r="M388" s="2" t="s">
        <v>2452</v>
      </c>
      <c r="N388" s="2" t="n">
        <v>4</v>
      </c>
      <c r="O388" s="2" t="n">
        <v>0</v>
      </c>
      <c r="P388" s="2" t="n">
        <v>892.69</v>
      </c>
      <c r="Q388" s="2" t="n">
        <v>41.85</v>
      </c>
      <c r="R388" s="2" t="s">
        <v>86</v>
      </c>
      <c r="S388" s="2" t="s">
        <v>110</v>
      </c>
    </row>
    <row r="389" customFormat="false" ht="15" hidden="false" customHeight="false" outlineLevel="0" collapsed="false">
      <c r="A389" s="2" t="s">
        <v>2453</v>
      </c>
      <c r="B389" s="2" t="s">
        <v>1458</v>
      </c>
      <c r="C389" s="2" t="s">
        <v>2454</v>
      </c>
      <c r="D389" s="2" t="s">
        <v>2455</v>
      </c>
      <c r="E389" s="2" t="s">
        <v>2456</v>
      </c>
      <c r="F389" s="2" t="s">
        <v>79</v>
      </c>
      <c r="G389" s="2" t="s">
        <v>728</v>
      </c>
      <c r="H389" s="2" t="s">
        <v>209</v>
      </c>
      <c r="I389" s="2" t="s">
        <v>27</v>
      </c>
      <c r="J389" s="2" t="s">
        <v>55</v>
      </c>
      <c r="K389" s="2" t="s">
        <v>56</v>
      </c>
      <c r="L389" s="2" t="s">
        <v>57</v>
      </c>
      <c r="M389" s="2" t="s">
        <v>2457</v>
      </c>
      <c r="N389" s="2" t="n">
        <v>5</v>
      </c>
      <c r="O389" s="2" t="n">
        <v>0.4</v>
      </c>
      <c r="P389" s="2" t="n">
        <v>17.03</v>
      </c>
      <c r="Q389" s="2" t="n">
        <v>46.11</v>
      </c>
      <c r="R389" s="2" t="s">
        <v>109</v>
      </c>
      <c r="S389" s="2" t="s">
        <v>110</v>
      </c>
    </row>
    <row r="390" customFormat="false" ht="15" hidden="false" customHeight="false" outlineLevel="0" collapsed="false">
      <c r="A390" s="2" t="s">
        <v>2458</v>
      </c>
      <c r="B390" s="2" t="s">
        <v>2459</v>
      </c>
      <c r="C390" s="2" t="s">
        <v>2460</v>
      </c>
      <c r="D390" s="2" t="s">
        <v>1535</v>
      </c>
      <c r="E390" s="2" t="s">
        <v>1536</v>
      </c>
      <c r="F390" s="2" t="s">
        <v>39</v>
      </c>
      <c r="G390" s="2" t="s">
        <v>242</v>
      </c>
      <c r="H390" s="2" t="s">
        <v>243</v>
      </c>
      <c r="I390" s="2" t="s">
        <v>54</v>
      </c>
      <c r="J390" s="2" t="s">
        <v>93</v>
      </c>
      <c r="K390" s="2" t="s">
        <v>94</v>
      </c>
      <c r="L390" s="2" t="s">
        <v>152</v>
      </c>
      <c r="M390" s="2" t="s">
        <v>2461</v>
      </c>
      <c r="N390" s="2" t="n">
        <v>11</v>
      </c>
      <c r="O390" s="2" t="n">
        <v>0.4</v>
      </c>
      <c r="P390" s="2" t="n">
        <v>-9.45</v>
      </c>
      <c r="Q390" s="2" t="n">
        <v>25.62</v>
      </c>
      <c r="R390" s="2" t="s">
        <v>32</v>
      </c>
      <c r="S390" s="2" t="s">
        <v>73</v>
      </c>
    </row>
    <row r="391" customFormat="false" ht="15" hidden="false" customHeight="false" outlineLevel="0" collapsed="false">
      <c r="A391" s="2" t="s">
        <v>2462</v>
      </c>
      <c r="B391" s="2" t="s">
        <v>2463</v>
      </c>
      <c r="C391" s="2" t="s">
        <v>2464</v>
      </c>
      <c r="D391" s="2" t="s">
        <v>2127</v>
      </c>
      <c r="E391" s="2" t="s">
        <v>2128</v>
      </c>
      <c r="F391" s="2" t="s">
        <v>24</v>
      </c>
      <c r="G391" s="2" t="s">
        <v>508</v>
      </c>
      <c r="H391" s="2" t="s">
        <v>480</v>
      </c>
      <c r="I391" s="2" t="s">
        <v>54</v>
      </c>
      <c r="J391" s="2" t="s">
        <v>387</v>
      </c>
      <c r="K391" s="2" t="s">
        <v>94</v>
      </c>
      <c r="L391" s="2" t="s">
        <v>95</v>
      </c>
      <c r="M391" s="2" t="s">
        <v>2465</v>
      </c>
      <c r="N391" s="2" t="n">
        <v>3</v>
      </c>
      <c r="O391" s="2" t="n">
        <v>0</v>
      </c>
      <c r="P391" s="2" t="n">
        <v>2.16</v>
      </c>
      <c r="Q391" s="2" t="n">
        <v>59.3</v>
      </c>
      <c r="R391" s="2" t="s">
        <v>86</v>
      </c>
      <c r="S391" s="2" t="s">
        <v>60</v>
      </c>
    </row>
    <row r="392" customFormat="false" ht="15" hidden="false" customHeight="false" outlineLevel="0" collapsed="false">
      <c r="A392" s="2" t="s">
        <v>2466</v>
      </c>
      <c r="B392" s="2" t="s">
        <v>2467</v>
      </c>
      <c r="C392" s="2" t="s">
        <v>1121</v>
      </c>
      <c r="D392" s="2" t="s">
        <v>1201</v>
      </c>
      <c r="E392" s="2" t="s">
        <v>1202</v>
      </c>
      <c r="F392" s="2" t="s">
        <v>179</v>
      </c>
      <c r="G392" s="2" t="s">
        <v>1599</v>
      </c>
      <c r="H392" s="2" t="s">
        <v>612</v>
      </c>
      <c r="I392" s="2" t="s">
        <v>106</v>
      </c>
      <c r="J392" s="2" t="s">
        <v>82</v>
      </c>
      <c r="K392" s="2" t="s">
        <v>118</v>
      </c>
      <c r="L392" s="2" t="s">
        <v>251</v>
      </c>
      <c r="M392" s="2" t="s">
        <v>2468</v>
      </c>
      <c r="N392" s="2" t="n">
        <v>6</v>
      </c>
      <c r="O392" s="2" t="n">
        <v>0</v>
      </c>
      <c r="P392" s="2" t="n">
        <v>1620.23</v>
      </c>
      <c r="Q392" s="2" t="n">
        <v>4.85</v>
      </c>
      <c r="R392" s="2" t="s">
        <v>121</v>
      </c>
      <c r="S392" s="2" t="s">
        <v>110</v>
      </c>
    </row>
    <row r="393" customFormat="false" ht="15" hidden="false" customHeight="false" outlineLevel="0" collapsed="false">
      <c r="A393" s="2" t="s">
        <v>2469</v>
      </c>
      <c r="B393" s="2" t="s">
        <v>2470</v>
      </c>
      <c r="C393" s="2" t="s">
        <v>2471</v>
      </c>
      <c r="D393" s="2" t="s">
        <v>2472</v>
      </c>
      <c r="E393" s="2" t="s">
        <v>2473</v>
      </c>
      <c r="F393" s="2" t="s">
        <v>24</v>
      </c>
      <c r="G393" s="2" t="s">
        <v>2474</v>
      </c>
      <c r="H393" s="2" t="s">
        <v>315</v>
      </c>
      <c r="I393" s="2" t="s">
        <v>54</v>
      </c>
      <c r="J393" s="2" t="s">
        <v>28</v>
      </c>
      <c r="K393" s="2" t="s">
        <v>29</v>
      </c>
      <c r="L393" s="2" t="s">
        <v>374</v>
      </c>
      <c r="M393" s="2" t="s">
        <v>2475</v>
      </c>
      <c r="N393" s="2" t="n">
        <v>10</v>
      </c>
      <c r="O393" s="2" t="n">
        <v>0.15</v>
      </c>
      <c r="P393" s="2" t="n">
        <v>270.01</v>
      </c>
      <c r="Q393" s="2" t="n">
        <v>50.17</v>
      </c>
      <c r="R393" s="2" t="s">
        <v>86</v>
      </c>
      <c r="S393" s="2" t="s">
        <v>60</v>
      </c>
    </row>
    <row r="394" customFormat="false" ht="15" hidden="false" customHeight="false" outlineLevel="0" collapsed="false">
      <c r="A394" s="2" t="s">
        <v>2476</v>
      </c>
      <c r="B394" s="2" t="s">
        <v>2477</v>
      </c>
      <c r="C394" s="2" t="s">
        <v>165</v>
      </c>
      <c r="D394" s="2" t="s">
        <v>2291</v>
      </c>
      <c r="E394" s="2" t="s">
        <v>2292</v>
      </c>
      <c r="F394" s="2" t="s">
        <v>24</v>
      </c>
      <c r="G394" s="2" t="s">
        <v>1523</v>
      </c>
      <c r="H394" s="2" t="s">
        <v>117</v>
      </c>
      <c r="I394" s="2" t="s">
        <v>27</v>
      </c>
      <c r="J394" s="2" t="s">
        <v>244</v>
      </c>
      <c r="K394" s="2" t="s">
        <v>277</v>
      </c>
      <c r="L394" s="2" t="s">
        <v>397</v>
      </c>
      <c r="M394" s="2" t="s">
        <v>2478</v>
      </c>
      <c r="N394" s="2" t="n">
        <v>4</v>
      </c>
      <c r="O394" s="2" t="n">
        <v>0.2</v>
      </c>
      <c r="P394" s="2" t="n">
        <v>7.01</v>
      </c>
      <c r="Q394" s="2" t="n">
        <v>6.25</v>
      </c>
      <c r="R394" s="2" t="s">
        <v>133</v>
      </c>
      <c r="S394" s="2" t="s">
        <v>33</v>
      </c>
    </row>
    <row r="395" customFormat="false" ht="15" hidden="false" customHeight="false" outlineLevel="0" collapsed="false">
      <c r="A395" s="2" t="s">
        <v>2479</v>
      </c>
      <c r="B395" s="2" t="s">
        <v>2480</v>
      </c>
      <c r="C395" s="2" t="s">
        <v>2481</v>
      </c>
      <c r="D395" s="2" t="s">
        <v>2482</v>
      </c>
      <c r="E395" s="2" t="s">
        <v>2483</v>
      </c>
      <c r="F395" s="2" t="s">
        <v>66</v>
      </c>
      <c r="G395" s="2" t="s">
        <v>159</v>
      </c>
      <c r="H395" s="2" t="s">
        <v>160</v>
      </c>
      <c r="I395" s="2" t="s">
        <v>27</v>
      </c>
      <c r="J395" s="2" t="s">
        <v>82</v>
      </c>
      <c r="K395" s="2" t="s">
        <v>234</v>
      </c>
      <c r="L395" s="2" t="s">
        <v>495</v>
      </c>
      <c r="M395" s="2" t="s">
        <v>2484</v>
      </c>
      <c r="N395" s="2" t="n">
        <v>7</v>
      </c>
      <c r="O395" s="2" t="n">
        <v>0.4</v>
      </c>
      <c r="P395" s="2" t="n">
        <v>-269.36</v>
      </c>
      <c r="Q395" s="2" t="n">
        <v>41.18</v>
      </c>
      <c r="R395" s="2" t="s">
        <v>162</v>
      </c>
      <c r="S395" s="2" t="s">
        <v>110</v>
      </c>
    </row>
    <row r="396" customFormat="false" ht="15" hidden="false" customHeight="false" outlineLevel="0" collapsed="false">
      <c r="A396" s="2" t="s">
        <v>2485</v>
      </c>
      <c r="B396" s="2" t="s">
        <v>2486</v>
      </c>
      <c r="C396" s="2" t="s">
        <v>2487</v>
      </c>
      <c r="D396" s="2" t="s">
        <v>1936</v>
      </c>
      <c r="E396" s="2" t="s">
        <v>1937</v>
      </c>
      <c r="F396" s="2" t="s">
        <v>149</v>
      </c>
      <c r="G396" s="2" t="s">
        <v>2488</v>
      </c>
      <c r="H396" s="2" t="s">
        <v>225</v>
      </c>
      <c r="I396" s="2" t="s">
        <v>42</v>
      </c>
      <c r="J396" s="2" t="s">
        <v>93</v>
      </c>
      <c r="K396" s="2" t="s">
        <v>130</v>
      </c>
      <c r="L396" s="2" t="s">
        <v>604</v>
      </c>
      <c r="M396" s="2" t="s">
        <v>2489</v>
      </c>
      <c r="N396" s="2" t="n">
        <v>6</v>
      </c>
      <c r="O396" s="2" t="n">
        <v>0.4</v>
      </c>
      <c r="P396" s="2" t="n">
        <v>-5.27</v>
      </c>
      <c r="Q396" s="2" t="n">
        <v>24.06</v>
      </c>
      <c r="R396" s="2" t="s">
        <v>121</v>
      </c>
      <c r="S396" s="2" t="s">
        <v>60</v>
      </c>
    </row>
    <row r="397" customFormat="false" ht="15" hidden="false" customHeight="false" outlineLevel="0" collapsed="false">
      <c r="A397" s="2" t="s">
        <v>2490</v>
      </c>
      <c r="B397" s="2" t="s">
        <v>2491</v>
      </c>
      <c r="C397" s="2" t="s">
        <v>2492</v>
      </c>
      <c r="D397" s="2" t="s">
        <v>2493</v>
      </c>
      <c r="E397" s="2" t="s">
        <v>2494</v>
      </c>
      <c r="F397" s="2" t="s">
        <v>24</v>
      </c>
      <c r="G397" s="2" t="s">
        <v>702</v>
      </c>
      <c r="H397" s="2" t="s">
        <v>105</v>
      </c>
      <c r="I397" s="2" t="s">
        <v>106</v>
      </c>
      <c r="J397" s="2" t="s">
        <v>55</v>
      </c>
      <c r="K397" s="2" t="s">
        <v>277</v>
      </c>
      <c r="L397" s="2" t="s">
        <v>278</v>
      </c>
      <c r="M397" s="2" t="s">
        <v>2495</v>
      </c>
      <c r="N397" s="2" t="n">
        <v>8</v>
      </c>
      <c r="O397" s="2" t="n">
        <v>0</v>
      </c>
      <c r="P397" s="2" t="n">
        <v>56.23</v>
      </c>
      <c r="Q397" s="2" t="n">
        <v>17.84</v>
      </c>
      <c r="R397" s="2" t="s">
        <v>133</v>
      </c>
      <c r="S397" s="2" t="s">
        <v>73</v>
      </c>
    </row>
    <row r="398" customFormat="false" ht="15" hidden="false" customHeight="false" outlineLevel="0" collapsed="false">
      <c r="A398" s="2" t="s">
        <v>2496</v>
      </c>
      <c r="B398" s="2" t="s">
        <v>2497</v>
      </c>
      <c r="C398" s="2" t="s">
        <v>1226</v>
      </c>
      <c r="D398" s="2" t="s">
        <v>2498</v>
      </c>
      <c r="E398" s="2" t="s">
        <v>2499</v>
      </c>
      <c r="F398" s="2" t="s">
        <v>66</v>
      </c>
      <c r="G398" s="2" t="s">
        <v>40</v>
      </c>
      <c r="H398" s="2" t="s">
        <v>41</v>
      </c>
      <c r="I398" s="2" t="s">
        <v>42</v>
      </c>
      <c r="J398" s="2" t="s">
        <v>55</v>
      </c>
      <c r="K398" s="2" t="s">
        <v>44</v>
      </c>
      <c r="L398" s="2" t="s">
        <v>45</v>
      </c>
      <c r="M398" s="2" t="s">
        <v>2500</v>
      </c>
      <c r="N398" s="2" t="n">
        <v>4</v>
      </c>
      <c r="O398" s="2" t="n">
        <v>0.3</v>
      </c>
      <c r="P398" s="2" t="n">
        <v>-186.28</v>
      </c>
      <c r="Q398" s="2"/>
      <c r="R398" s="2" t="s">
        <v>86</v>
      </c>
      <c r="S398" s="2" t="s">
        <v>60</v>
      </c>
    </row>
    <row r="399" customFormat="false" ht="15" hidden="false" customHeight="false" outlineLevel="0" collapsed="false">
      <c r="A399" s="2" t="s">
        <v>2501</v>
      </c>
      <c r="B399" s="2" t="s">
        <v>505</v>
      </c>
      <c r="C399" s="2" t="s">
        <v>1788</v>
      </c>
      <c r="D399" s="2" t="s">
        <v>2502</v>
      </c>
      <c r="E399" s="2" t="s">
        <v>2503</v>
      </c>
      <c r="F399" s="2" t="s">
        <v>196</v>
      </c>
      <c r="G399" s="2" t="s">
        <v>508</v>
      </c>
      <c r="H399" s="2" t="s">
        <v>480</v>
      </c>
      <c r="I399" s="2" t="s">
        <v>54</v>
      </c>
      <c r="J399" s="2" t="s">
        <v>82</v>
      </c>
      <c r="K399" s="2" t="s">
        <v>118</v>
      </c>
      <c r="L399" s="2" t="s">
        <v>119</v>
      </c>
      <c r="M399" s="2" t="s">
        <v>2504</v>
      </c>
      <c r="N399" s="2" t="n">
        <v>7</v>
      </c>
      <c r="O399" s="2" t="n">
        <v>0.2</v>
      </c>
      <c r="P399" s="2" t="n">
        <v>404.96</v>
      </c>
      <c r="Q399" s="2" t="n">
        <v>45.44</v>
      </c>
      <c r="R399" s="2" t="s">
        <v>162</v>
      </c>
      <c r="S399" s="2" t="s">
        <v>60</v>
      </c>
    </row>
    <row r="400" customFormat="false" ht="15" hidden="false" customHeight="false" outlineLevel="0" collapsed="false">
      <c r="A400" s="2" t="s">
        <v>2505</v>
      </c>
      <c r="B400" s="2" t="s">
        <v>1396</v>
      </c>
      <c r="C400" s="2" t="s">
        <v>2506</v>
      </c>
      <c r="D400" s="2" t="s">
        <v>2507</v>
      </c>
      <c r="E400" s="2" t="s">
        <v>2508</v>
      </c>
      <c r="F400" s="2" t="s">
        <v>24</v>
      </c>
      <c r="G400" s="2" t="s">
        <v>639</v>
      </c>
      <c r="H400" s="2" t="s">
        <v>365</v>
      </c>
      <c r="I400" s="2" t="s">
        <v>106</v>
      </c>
      <c r="J400" s="2" t="s">
        <v>55</v>
      </c>
      <c r="K400" s="2" t="s">
        <v>277</v>
      </c>
      <c r="L400" s="2" t="s">
        <v>613</v>
      </c>
      <c r="M400" s="2" t="s">
        <v>2509</v>
      </c>
      <c r="N400" s="2" t="n">
        <v>11</v>
      </c>
      <c r="O400" s="2" t="n">
        <v>0.4</v>
      </c>
      <c r="P400" s="2" t="n">
        <v>-175.2</v>
      </c>
      <c r="Q400" s="2" t="n">
        <v>35.23</v>
      </c>
      <c r="R400" s="2" t="s">
        <v>32</v>
      </c>
      <c r="S400" s="2" t="s">
        <v>33</v>
      </c>
    </row>
    <row r="401" customFormat="false" ht="15" hidden="false" customHeight="false" outlineLevel="0" collapsed="false">
      <c r="A401" s="2" t="s">
        <v>2510</v>
      </c>
      <c r="B401" s="2" t="s">
        <v>2511</v>
      </c>
      <c r="C401" s="2" t="s">
        <v>2512</v>
      </c>
      <c r="D401" s="2" t="s">
        <v>2513</v>
      </c>
      <c r="E401" s="2" t="s">
        <v>2514</v>
      </c>
      <c r="F401" s="2" t="s">
        <v>24</v>
      </c>
      <c r="G401" s="2" t="s">
        <v>535</v>
      </c>
      <c r="H401" s="2" t="s">
        <v>198</v>
      </c>
      <c r="I401" s="2" t="s">
        <v>106</v>
      </c>
      <c r="J401" s="2" t="s">
        <v>55</v>
      </c>
      <c r="K401" s="2" t="s">
        <v>69</v>
      </c>
      <c r="L401" s="2" t="s">
        <v>417</v>
      </c>
      <c r="M401" s="2" t="s">
        <v>2515</v>
      </c>
      <c r="N401" s="2" t="n">
        <v>5</v>
      </c>
      <c r="O401" s="2" t="n">
        <v>0.3</v>
      </c>
      <c r="P401" s="2" t="n">
        <v>-54.77</v>
      </c>
      <c r="Q401" s="2" t="n">
        <v>21.61</v>
      </c>
      <c r="R401" s="2" t="s">
        <v>72</v>
      </c>
      <c r="S401" s="2" t="s">
        <v>73</v>
      </c>
    </row>
    <row r="402" customFormat="false" ht="15" hidden="false" customHeight="false" outlineLevel="0" collapsed="false">
      <c r="A402" s="2" t="s">
        <v>2516</v>
      </c>
      <c r="B402" s="2" t="s">
        <v>2517</v>
      </c>
      <c r="C402" s="2" t="s">
        <v>2518</v>
      </c>
      <c r="D402" s="2" t="s">
        <v>764</v>
      </c>
      <c r="E402" s="2" t="s">
        <v>765</v>
      </c>
      <c r="F402" s="2" t="s">
        <v>39</v>
      </c>
      <c r="G402" s="2" t="s">
        <v>2007</v>
      </c>
      <c r="H402" s="2" t="s">
        <v>169</v>
      </c>
      <c r="I402" s="2" t="s">
        <v>106</v>
      </c>
      <c r="J402" s="2" t="s">
        <v>43</v>
      </c>
      <c r="K402" s="2" t="s">
        <v>277</v>
      </c>
      <c r="L402" s="2" t="s">
        <v>278</v>
      </c>
      <c r="M402" s="2" t="s">
        <v>2519</v>
      </c>
      <c r="N402" s="2" t="n">
        <v>5</v>
      </c>
      <c r="O402" s="2" t="n">
        <v>0.4</v>
      </c>
      <c r="P402" s="2" t="n">
        <v>-140.98</v>
      </c>
      <c r="Q402" s="2" t="n">
        <v>35.76</v>
      </c>
      <c r="R402" s="2" t="s">
        <v>181</v>
      </c>
      <c r="S402" s="2" t="s">
        <v>60</v>
      </c>
    </row>
    <row r="403" customFormat="false" ht="15" hidden="false" customHeight="false" outlineLevel="0" collapsed="false">
      <c r="A403" s="2" t="s">
        <v>2520</v>
      </c>
      <c r="B403" s="2" t="s">
        <v>221</v>
      </c>
      <c r="C403" s="2" t="s">
        <v>1749</v>
      </c>
      <c r="D403" s="2" t="s">
        <v>2521</v>
      </c>
      <c r="E403" s="2" t="s">
        <v>2522</v>
      </c>
      <c r="F403" s="2" t="s">
        <v>39</v>
      </c>
      <c r="G403" s="2" t="s">
        <v>1506</v>
      </c>
      <c r="H403" s="2" t="s">
        <v>315</v>
      </c>
      <c r="I403" s="2" t="s">
        <v>54</v>
      </c>
      <c r="J403" s="2" t="s">
        <v>93</v>
      </c>
      <c r="K403" s="2" t="s">
        <v>141</v>
      </c>
      <c r="L403" s="2" t="s">
        <v>864</v>
      </c>
      <c r="M403" s="2" t="s">
        <v>2523</v>
      </c>
      <c r="N403" s="2" t="n">
        <v>11</v>
      </c>
      <c r="O403" s="2" t="n">
        <v>0.3</v>
      </c>
      <c r="P403" s="2" t="n">
        <v>-54.44</v>
      </c>
      <c r="Q403" s="2" t="n">
        <v>55.34</v>
      </c>
      <c r="R403" s="2" t="s">
        <v>202</v>
      </c>
      <c r="S403" s="2" t="s">
        <v>110</v>
      </c>
    </row>
    <row r="404" customFormat="false" ht="15" hidden="false" customHeight="false" outlineLevel="0" collapsed="false">
      <c r="A404" s="2" t="s">
        <v>2524</v>
      </c>
      <c r="B404" s="2" t="s">
        <v>2525</v>
      </c>
      <c r="C404" s="2" t="s">
        <v>2526</v>
      </c>
      <c r="D404" s="2" t="s">
        <v>2527</v>
      </c>
      <c r="E404" s="2" t="s">
        <v>2528</v>
      </c>
      <c r="F404" s="2" t="s">
        <v>66</v>
      </c>
      <c r="G404" s="2" t="s">
        <v>2239</v>
      </c>
      <c r="H404" s="2" t="s">
        <v>198</v>
      </c>
      <c r="I404" s="2" t="s">
        <v>106</v>
      </c>
      <c r="J404" s="2" t="s">
        <v>82</v>
      </c>
      <c r="K404" s="2" t="s">
        <v>234</v>
      </c>
      <c r="L404" s="2" t="s">
        <v>235</v>
      </c>
      <c r="M404" s="2" t="s">
        <v>2529</v>
      </c>
      <c r="N404" s="2" t="n">
        <v>8</v>
      </c>
      <c r="O404" s="2" t="n">
        <v>0.4</v>
      </c>
      <c r="P404" s="2" t="n">
        <v>128.8</v>
      </c>
      <c r="Q404" s="2" t="n">
        <v>29.74</v>
      </c>
      <c r="R404" s="2" t="s">
        <v>162</v>
      </c>
      <c r="S404" s="2" t="s">
        <v>33</v>
      </c>
    </row>
    <row r="405" customFormat="false" ht="15" hidden="false" customHeight="false" outlineLevel="0" collapsed="false">
      <c r="A405" s="2" t="s">
        <v>2530</v>
      </c>
      <c r="B405" s="2" t="s">
        <v>2531</v>
      </c>
      <c r="C405" s="2" t="s">
        <v>2532</v>
      </c>
      <c r="D405" s="2" t="s">
        <v>2533</v>
      </c>
      <c r="E405" s="2" t="s">
        <v>2534</v>
      </c>
      <c r="F405" s="2" t="s">
        <v>149</v>
      </c>
      <c r="G405" s="2" t="s">
        <v>457</v>
      </c>
      <c r="H405" s="2" t="s">
        <v>151</v>
      </c>
      <c r="I405" s="2" t="s">
        <v>27</v>
      </c>
      <c r="J405" s="2" t="s">
        <v>129</v>
      </c>
      <c r="K405" s="2" t="s">
        <v>170</v>
      </c>
      <c r="L405" s="2" t="s">
        <v>226</v>
      </c>
      <c r="M405" s="2" t="s">
        <v>2535</v>
      </c>
      <c r="N405" s="2" t="n">
        <v>12</v>
      </c>
      <c r="O405" s="2" t="n">
        <v>0.15</v>
      </c>
      <c r="P405" s="2" t="n">
        <v>51.16</v>
      </c>
      <c r="Q405" s="2" t="n">
        <v>10.13</v>
      </c>
      <c r="R405" s="2" t="s">
        <v>440</v>
      </c>
      <c r="S405" s="2" t="s">
        <v>73</v>
      </c>
    </row>
    <row r="406" customFormat="false" ht="15" hidden="false" customHeight="false" outlineLevel="0" collapsed="false">
      <c r="A406" s="2" t="s">
        <v>2536</v>
      </c>
      <c r="B406" s="2" t="s">
        <v>2537</v>
      </c>
      <c r="C406" s="2" t="s">
        <v>2538</v>
      </c>
      <c r="D406" s="2" t="s">
        <v>1373</v>
      </c>
      <c r="E406" s="2" t="s">
        <v>1374</v>
      </c>
      <c r="F406" s="2" t="s">
        <v>149</v>
      </c>
      <c r="G406" s="2" t="s">
        <v>2539</v>
      </c>
      <c r="H406" s="2" t="s">
        <v>105</v>
      </c>
      <c r="I406" s="2" t="s">
        <v>106</v>
      </c>
      <c r="J406" s="2" t="s">
        <v>129</v>
      </c>
      <c r="K406" s="2" t="s">
        <v>170</v>
      </c>
      <c r="L406" s="2" t="s">
        <v>171</v>
      </c>
      <c r="M406" s="2" t="s">
        <v>2540</v>
      </c>
      <c r="N406" s="2" t="n">
        <v>5</v>
      </c>
      <c r="O406" s="2" t="n">
        <v>0.3</v>
      </c>
      <c r="P406" s="2" t="n">
        <v>21.96</v>
      </c>
      <c r="Q406" s="2" t="n">
        <v>5.17</v>
      </c>
      <c r="R406" s="2" t="s">
        <v>32</v>
      </c>
      <c r="S406" s="2" t="s">
        <v>33</v>
      </c>
    </row>
    <row r="407" customFormat="false" ht="15" hidden="false" customHeight="false" outlineLevel="0" collapsed="false">
      <c r="A407" s="2" t="s">
        <v>2541</v>
      </c>
      <c r="B407" s="2" t="s">
        <v>2542</v>
      </c>
      <c r="C407" s="2" t="s">
        <v>2543</v>
      </c>
      <c r="D407" s="2" t="s">
        <v>2544</v>
      </c>
      <c r="E407" s="2" t="s">
        <v>2545</v>
      </c>
      <c r="F407" s="2" t="s">
        <v>24</v>
      </c>
      <c r="G407" s="2" t="s">
        <v>1537</v>
      </c>
      <c r="H407" s="2" t="s">
        <v>365</v>
      </c>
      <c r="I407" s="2" t="s">
        <v>106</v>
      </c>
      <c r="J407" s="2" t="s">
        <v>82</v>
      </c>
      <c r="K407" s="2" t="s">
        <v>118</v>
      </c>
      <c r="L407" s="2" t="s">
        <v>119</v>
      </c>
      <c r="M407" s="2" t="s">
        <v>2546</v>
      </c>
      <c r="N407" s="2" t="n">
        <v>10</v>
      </c>
      <c r="O407" s="2" t="n">
        <v>0.15</v>
      </c>
      <c r="P407" s="2" t="n">
        <v>299.2</v>
      </c>
      <c r="Q407" s="2" t="n">
        <v>36.06</v>
      </c>
      <c r="R407" s="2" t="s">
        <v>86</v>
      </c>
      <c r="S407" s="2" t="s">
        <v>60</v>
      </c>
    </row>
    <row r="408" customFormat="false" ht="15" hidden="false" customHeight="false" outlineLevel="0" collapsed="false">
      <c r="A408" s="2" t="s">
        <v>2547</v>
      </c>
      <c r="B408" s="2" t="s">
        <v>2548</v>
      </c>
      <c r="C408" s="2" t="s">
        <v>2087</v>
      </c>
      <c r="D408" s="2" t="s">
        <v>283</v>
      </c>
      <c r="E408" s="2" t="s">
        <v>284</v>
      </c>
      <c r="F408" s="2" t="s">
        <v>196</v>
      </c>
      <c r="G408" s="2" t="s">
        <v>1885</v>
      </c>
      <c r="H408" s="2" t="s">
        <v>365</v>
      </c>
      <c r="I408" s="2" t="s">
        <v>106</v>
      </c>
      <c r="J408" s="2" t="s">
        <v>129</v>
      </c>
      <c r="K408" s="2" t="s">
        <v>170</v>
      </c>
      <c r="L408" s="2" t="s">
        <v>226</v>
      </c>
      <c r="M408" s="2" t="s">
        <v>2549</v>
      </c>
      <c r="N408" s="2" t="n">
        <v>8</v>
      </c>
      <c r="O408" s="2" t="n">
        <v>0.15</v>
      </c>
      <c r="P408" s="2" t="n">
        <v>31.12</v>
      </c>
      <c r="Q408" s="2" t="n">
        <v>32.78</v>
      </c>
      <c r="R408" s="2" t="s">
        <v>59</v>
      </c>
      <c r="S408" s="2" t="s">
        <v>33</v>
      </c>
    </row>
    <row r="409" customFormat="false" ht="15" hidden="false" customHeight="false" outlineLevel="0" collapsed="false">
      <c r="A409" s="2" t="s">
        <v>2550</v>
      </c>
      <c r="B409" s="2" t="s">
        <v>2551</v>
      </c>
      <c r="C409" s="2" t="s">
        <v>2552</v>
      </c>
      <c r="D409" s="2" t="s">
        <v>2553</v>
      </c>
      <c r="E409" s="2" t="s">
        <v>2554</v>
      </c>
      <c r="F409" s="2" t="s">
        <v>66</v>
      </c>
      <c r="G409" s="2" t="s">
        <v>759</v>
      </c>
      <c r="H409" s="2" t="s">
        <v>160</v>
      </c>
      <c r="I409" s="2" t="s">
        <v>27</v>
      </c>
      <c r="J409" s="2" t="s">
        <v>93</v>
      </c>
      <c r="K409" s="2" t="s">
        <v>199</v>
      </c>
      <c r="L409" s="2" t="s">
        <v>200</v>
      </c>
      <c r="M409" s="2" t="s">
        <v>2555</v>
      </c>
      <c r="N409" s="2" t="n">
        <v>9</v>
      </c>
      <c r="O409" s="2" t="n">
        <v>0.3</v>
      </c>
      <c r="P409" s="2" t="n">
        <v>-23.45</v>
      </c>
      <c r="Q409" s="2" t="n">
        <v>42.73</v>
      </c>
      <c r="R409" s="2" t="s">
        <v>992</v>
      </c>
      <c r="S409" s="2" t="s">
        <v>60</v>
      </c>
    </row>
    <row r="410" customFormat="false" ht="15" hidden="false" customHeight="false" outlineLevel="0" collapsed="false">
      <c r="A410" s="2" t="s">
        <v>2556</v>
      </c>
      <c r="B410" s="2" t="s">
        <v>2557</v>
      </c>
      <c r="C410" s="2" t="s">
        <v>2558</v>
      </c>
      <c r="D410" s="2" t="s">
        <v>2559</v>
      </c>
      <c r="E410" s="2" t="s">
        <v>2560</v>
      </c>
      <c r="F410" s="2" t="s">
        <v>66</v>
      </c>
      <c r="G410" s="2" t="s">
        <v>139</v>
      </c>
      <c r="H410" s="2" t="s">
        <v>140</v>
      </c>
      <c r="I410" s="2" t="s">
        <v>54</v>
      </c>
      <c r="J410" s="2" t="s">
        <v>93</v>
      </c>
      <c r="K410" s="2" t="s">
        <v>388</v>
      </c>
      <c r="L410" s="2" t="s">
        <v>389</v>
      </c>
      <c r="M410" s="2" t="s">
        <v>2561</v>
      </c>
      <c r="N410" s="2" t="n">
        <v>2</v>
      </c>
      <c r="O410" s="2" t="n">
        <v>0.4</v>
      </c>
      <c r="P410" s="2" t="n">
        <v>0.24</v>
      </c>
      <c r="Q410" s="2" t="n">
        <v>23.16</v>
      </c>
      <c r="R410" s="2" t="s">
        <v>440</v>
      </c>
      <c r="S410" s="2" t="s">
        <v>73</v>
      </c>
    </row>
    <row r="411" customFormat="false" ht="15" hidden="false" customHeight="false" outlineLevel="0" collapsed="false">
      <c r="A411" s="2" t="s">
        <v>2562</v>
      </c>
      <c r="B411" s="2" t="s">
        <v>2563</v>
      </c>
      <c r="C411" s="2" t="s">
        <v>2564</v>
      </c>
      <c r="D411" s="2" t="s">
        <v>2565</v>
      </c>
      <c r="E411" s="2" t="s">
        <v>2566</v>
      </c>
      <c r="F411" s="2" t="s">
        <v>24</v>
      </c>
      <c r="G411" s="2" t="s">
        <v>2567</v>
      </c>
      <c r="H411" s="2" t="s">
        <v>259</v>
      </c>
      <c r="I411" s="2" t="s">
        <v>106</v>
      </c>
      <c r="J411" s="2" t="s">
        <v>343</v>
      </c>
      <c r="K411" s="2" t="s">
        <v>234</v>
      </c>
      <c r="L411" s="2" t="s">
        <v>235</v>
      </c>
      <c r="M411" s="2" t="s">
        <v>2568</v>
      </c>
      <c r="N411" s="2" t="n">
        <v>5</v>
      </c>
      <c r="O411" s="2" t="n">
        <v>0</v>
      </c>
      <c r="P411" s="2" t="n">
        <v>171.79</v>
      </c>
      <c r="Q411" s="2" t="n">
        <v>41.91</v>
      </c>
      <c r="R411" s="2" t="s">
        <v>121</v>
      </c>
      <c r="S411" s="2" t="s">
        <v>73</v>
      </c>
    </row>
    <row r="412" customFormat="false" ht="15" hidden="false" customHeight="false" outlineLevel="0" collapsed="false">
      <c r="A412" s="2" t="s">
        <v>2569</v>
      </c>
      <c r="B412" s="2" t="s">
        <v>2570</v>
      </c>
      <c r="C412" s="2" t="s">
        <v>2571</v>
      </c>
      <c r="D412" s="2" t="s">
        <v>2572</v>
      </c>
      <c r="E412" s="2" t="s">
        <v>2573</v>
      </c>
      <c r="F412" s="2" t="s">
        <v>66</v>
      </c>
      <c r="G412" s="2" t="s">
        <v>430</v>
      </c>
      <c r="H412" s="2" t="s">
        <v>128</v>
      </c>
      <c r="I412" s="2" t="s">
        <v>42</v>
      </c>
      <c r="J412" s="2" t="s">
        <v>387</v>
      </c>
      <c r="K412" s="2" t="s">
        <v>130</v>
      </c>
      <c r="L412" s="2" t="s">
        <v>131</v>
      </c>
      <c r="M412" s="2" t="s">
        <v>2574</v>
      </c>
      <c r="N412" s="2" t="n">
        <v>9</v>
      </c>
      <c r="O412" s="2" t="n">
        <v>0</v>
      </c>
      <c r="P412" s="2" t="n">
        <v>33.13</v>
      </c>
      <c r="Q412" s="2" t="n">
        <v>22.51</v>
      </c>
      <c r="R412" s="2" t="s">
        <v>47</v>
      </c>
      <c r="S412" s="2" t="s">
        <v>73</v>
      </c>
    </row>
    <row r="413" customFormat="false" ht="15" hidden="false" customHeight="false" outlineLevel="0" collapsed="false">
      <c r="A413" s="2" t="s">
        <v>2575</v>
      </c>
      <c r="B413" s="2" t="s">
        <v>2576</v>
      </c>
      <c r="C413" s="2" t="s">
        <v>2577</v>
      </c>
      <c r="D413" s="2" t="s">
        <v>573</v>
      </c>
      <c r="E413" s="2" t="s">
        <v>574</v>
      </c>
      <c r="F413" s="2" t="s">
        <v>39</v>
      </c>
      <c r="G413" s="2" t="s">
        <v>2578</v>
      </c>
      <c r="H413" s="2" t="s">
        <v>140</v>
      </c>
      <c r="I413" s="2" t="s">
        <v>54</v>
      </c>
      <c r="J413" s="2" t="s">
        <v>244</v>
      </c>
      <c r="K413" s="2" t="s">
        <v>69</v>
      </c>
      <c r="L413" s="2" t="s">
        <v>70</v>
      </c>
      <c r="M413" s="2" t="s">
        <v>2579</v>
      </c>
      <c r="N413" s="2" t="n">
        <v>9</v>
      </c>
      <c r="O413" s="2" t="n">
        <v>0</v>
      </c>
      <c r="P413" s="2" t="n">
        <v>482.19</v>
      </c>
      <c r="Q413" s="2" t="n">
        <v>25.73</v>
      </c>
      <c r="R413" s="2" t="s">
        <v>162</v>
      </c>
      <c r="S413" s="2" t="s">
        <v>33</v>
      </c>
    </row>
    <row r="414" customFormat="false" ht="15" hidden="false" customHeight="false" outlineLevel="0" collapsed="false">
      <c r="A414" s="2" t="s">
        <v>2580</v>
      </c>
      <c r="B414" s="2" t="s">
        <v>2242</v>
      </c>
      <c r="C414" s="2" t="s">
        <v>2581</v>
      </c>
      <c r="D414" s="2" t="s">
        <v>2582</v>
      </c>
      <c r="E414" s="2" t="s">
        <v>2583</v>
      </c>
      <c r="F414" s="2" t="s">
        <v>24</v>
      </c>
      <c r="G414" s="2" t="s">
        <v>521</v>
      </c>
      <c r="H414" s="2" t="s">
        <v>373</v>
      </c>
      <c r="I414" s="2" t="s">
        <v>27</v>
      </c>
      <c r="J414" s="2" t="s">
        <v>244</v>
      </c>
      <c r="K414" s="2" t="s">
        <v>277</v>
      </c>
      <c r="L414" s="2" t="s">
        <v>278</v>
      </c>
      <c r="M414" s="2" t="s">
        <v>2584</v>
      </c>
      <c r="N414" s="2" t="n">
        <v>10</v>
      </c>
      <c r="O414" s="2" t="n">
        <v>0.3</v>
      </c>
      <c r="P414" s="2" t="n">
        <v>49.82</v>
      </c>
      <c r="Q414" s="2"/>
      <c r="R414" s="2" t="s">
        <v>162</v>
      </c>
      <c r="S414" s="2" t="s">
        <v>73</v>
      </c>
    </row>
    <row r="415" customFormat="false" ht="15" hidden="false" customHeight="false" outlineLevel="0" collapsed="false">
      <c r="A415" s="2" t="s">
        <v>2585</v>
      </c>
      <c r="B415" s="2" t="s">
        <v>2586</v>
      </c>
      <c r="C415" s="2" t="s">
        <v>2587</v>
      </c>
      <c r="D415" s="2" t="s">
        <v>2588</v>
      </c>
      <c r="E415" s="2"/>
      <c r="F415" s="2" t="s">
        <v>39</v>
      </c>
      <c r="G415" s="2" t="s">
        <v>1683</v>
      </c>
      <c r="H415" s="2" t="s">
        <v>41</v>
      </c>
      <c r="I415" s="2" t="s">
        <v>42</v>
      </c>
      <c r="J415" s="2" t="s">
        <v>43</v>
      </c>
      <c r="K415" s="2" t="s">
        <v>69</v>
      </c>
      <c r="L415" s="2" t="s">
        <v>107</v>
      </c>
      <c r="M415" s="2" t="s">
        <v>2589</v>
      </c>
      <c r="N415" s="2" t="n">
        <v>4</v>
      </c>
      <c r="O415" s="2" t="n">
        <v>0.4</v>
      </c>
      <c r="P415" s="2" t="n">
        <v>-0.46</v>
      </c>
      <c r="Q415" s="2" t="n">
        <v>5.16</v>
      </c>
      <c r="R415" s="2" t="s">
        <v>162</v>
      </c>
      <c r="S415" s="2" t="s">
        <v>60</v>
      </c>
    </row>
    <row r="416" customFormat="false" ht="15" hidden="false" customHeight="false" outlineLevel="0" collapsed="false">
      <c r="A416" s="2" t="s">
        <v>2590</v>
      </c>
      <c r="B416" s="2" t="s">
        <v>2591</v>
      </c>
      <c r="C416" s="2" t="s">
        <v>2592</v>
      </c>
      <c r="D416" s="2" t="s">
        <v>1032</v>
      </c>
      <c r="E416" s="2" t="s">
        <v>1033</v>
      </c>
      <c r="F416" s="2" t="s">
        <v>66</v>
      </c>
      <c r="G416" s="2" t="s">
        <v>187</v>
      </c>
      <c r="H416" s="2" t="s">
        <v>151</v>
      </c>
      <c r="I416" s="2" t="s">
        <v>27</v>
      </c>
      <c r="J416" s="2" t="s">
        <v>55</v>
      </c>
      <c r="K416" s="2" t="s">
        <v>56</v>
      </c>
      <c r="L416" s="2" t="s">
        <v>307</v>
      </c>
      <c r="M416" s="2" t="s">
        <v>2593</v>
      </c>
      <c r="N416" s="2" t="n">
        <v>1</v>
      </c>
      <c r="O416" s="2" t="n">
        <v>0</v>
      </c>
      <c r="P416" s="2" t="n">
        <v>12.56</v>
      </c>
      <c r="Q416" s="2" t="n">
        <v>10.38</v>
      </c>
      <c r="R416" s="2" t="s">
        <v>121</v>
      </c>
      <c r="S416" s="2"/>
    </row>
    <row r="417" customFormat="false" ht="15" hidden="false" customHeight="false" outlineLevel="0" collapsed="false">
      <c r="A417" s="2" t="s">
        <v>2594</v>
      </c>
      <c r="B417" s="2" t="s">
        <v>749</v>
      </c>
      <c r="C417" s="2" t="s">
        <v>2595</v>
      </c>
      <c r="D417" s="2" t="s">
        <v>2596</v>
      </c>
      <c r="E417" s="2" t="s">
        <v>2597</v>
      </c>
      <c r="F417" s="2" t="s">
        <v>103</v>
      </c>
      <c r="G417" s="2" t="s">
        <v>1055</v>
      </c>
      <c r="H417" s="2" t="s">
        <v>299</v>
      </c>
      <c r="I417" s="2" t="s">
        <v>42</v>
      </c>
      <c r="J417" s="2" t="s">
        <v>43</v>
      </c>
      <c r="K417" s="2" t="s">
        <v>56</v>
      </c>
      <c r="L417" s="2" t="s">
        <v>57</v>
      </c>
      <c r="M417" s="2" t="s">
        <v>2598</v>
      </c>
      <c r="N417" s="2" t="n">
        <v>9</v>
      </c>
      <c r="O417" s="2" t="n">
        <v>0.15</v>
      </c>
      <c r="P417" s="2" t="n">
        <v>102.71</v>
      </c>
      <c r="Q417" s="2" t="n">
        <v>24.4</v>
      </c>
      <c r="R417" s="2" t="s">
        <v>121</v>
      </c>
      <c r="S417" s="2" t="s">
        <v>73</v>
      </c>
    </row>
    <row r="418" customFormat="false" ht="15" hidden="false" customHeight="false" outlineLevel="0" collapsed="false">
      <c r="A418" s="2" t="s">
        <v>2599</v>
      </c>
      <c r="B418" s="2" t="s">
        <v>2600</v>
      </c>
      <c r="C418" s="2" t="s">
        <v>2601</v>
      </c>
      <c r="D418" s="2" t="s">
        <v>824</v>
      </c>
      <c r="E418" s="2" t="s">
        <v>825</v>
      </c>
      <c r="F418" s="2" t="s">
        <v>24</v>
      </c>
      <c r="G418" s="2" t="s">
        <v>2602</v>
      </c>
      <c r="H418" s="2" t="s">
        <v>117</v>
      </c>
      <c r="I418" s="2" t="s">
        <v>27</v>
      </c>
      <c r="J418" s="2" t="s">
        <v>93</v>
      </c>
      <c r="K418" s="2" t="s">
        <v>199</v>
      </c>
      <c r="L418" s="2" t="s">
        <v>789</v>
      </c>
      <c r="M418" s="2" t="s">
        <v>2603</v>
      </c>
      <c r="N418" s="2" t="n">
        <v>2</v>
      </c>
      <c r="O418" s="2" t="n">
        <v>0.5</v>
      </c>
      <c r="P418" s="2" t="n">
        <v>-3.82</v>
      </c>
      <c r="Q418" s="2" t="n">
        <v>21.43</v>
      </c>
      <c r="R418" s="2" t="s">
        <v>72</v>
      </c>
      <c r="S418" s="2" t="s">
        <v>110</v>
      </c>
    </row>
    <row r="419" customFormat="false" ht="15" hidden="false" customHeight="false" outlineLevel="0" collapsed="false">
      <c r="A419" s="2" t="s">
        <v>2604</v>
      </c>
      <c r="B419" s="2" t="s">
        <v>2605</v>
      </c>
      <c r="C419" s="2" t="s">
        <v>2606</v>
      </c>
      <c r="D419" s="2" t="s">
        <v>2607</v>
      </c>
      <c r="E419" s="2" t="s">
        <v>2608</v>
      </c>
      <c r="F419" s="2" t="s">
        <v>149</v>
      </c>
      <c r="G419" s="2" t="s">
        <v>1009</v>
      </c>
      <c r="H419" s="2" t="s">
        <v>365</v>
      </c>
      <c r="I419" s="2" t="s">
        <v>106</v>
      </c>
      <c r="J419" s="2" t="s">
        <v>343</v>
      </c>
      <c r="K419" s="2" t="s">
        <v>234</v>
      </c>
      <c r="L419" s="2" t="s">
        <v>495</v>
      </c>
      <c r="M419" s="2" t="s">
        <v>2609</v>
      </c>
      <c r="N419" s="2" t="n">
        <v>9</v>
      </c>
      <c r="O419" s="2" t="n">
        <v>0.4</v>
      </c>
      <c r="P419" s="2" t="n">
        <v>-107.42</v>
      </c>
      <c r="Q419" s="2" t="n">
        <v>52.81</v>
      </c>
      <c r="R419" s="2" t="s">
        <v>72</v>
      </c>
      <c r="S419" s="2" t="s">
        <v>60</v>
      </c>
    </row>
    <row r="420" customFormat="false" ht="15" hidden="false" customHeight="false" outlineLevel="0" collapsed="false">
      <c r="A420" s="2" t="s">
        <v>2610</v>
      </c>
      <c r="B420" s="2" t="s">
        <v>1385</v>
      </c>
      <c r="C420" s="2" t="s">
        <v>2611</v>
      </c>
      <c r="D420" s="2" t="s">
        <v>2435</v>
      </c>
      <c r="E420" s="2" t="s">
        <v>2436</v>
      </c>
      <c r="F420" s="2" t="s">
        <v>24</v>
      </c>
      <c r="G420" s="2" t="s">
        <v>971</v>
      </c>
      <c r="H420" s="2" t="s">
        <v>105</v>
      </c>
      <c r="I420" s="2" t="s">
        <v>106</v>
      </c>
      <c r="J420" s="2" t="s">
        <v>387</v>
      </c>
      <c r="K420" s="2" t="s">
        <v>141</v>
      </c>
      <c r="L420" s="2" t="s">
        <v>864</v>
      </c>
      <c r="M420" s="2" t="s">
        <v>2612</v>
      </c>
      <c r="N420" s="2" t="n">
        <v>8</v>
      </c>
      <c r="O420" s="2" t="n">
        <v>0.5</v>
      </c>
      <c r="P420" s="2" t="n">
        <v>-27.05</v>
      </c>
      <c r="Q420" s="2" t="n">
        <v>21.27</v>
      </c>
      <c r="R420" s="2" t="s">
        <v>72</v>
      </c>
      <c r="S420" s="2" t="s">
        <v>73</v>
      </c>
    </row>
    <row r="421" customFormat="false" ht="15" hidden="false" customHeight="false" outlineLevel="0" collapsed="false">
      <c r="A421" s="2" t="s">
        <v>2613</v>
      </c>
      <c r="B421" s="2" t="s">
        <v>2614</v>
      </c>
      <c r="C421" s="2" t="s">
        <v>2615</v>
      </c>
      <c r="D421" s="2" t="s">
        <v>2616</v>
      </c>
      <c r="E421" s="2" t="s">
        <v>2617</v>
      </c>
      <c r="F421" s="2" t="s">
        <v>149</v>
      </c>
      <c r="G421" s="2" t="s">
        <v>1129</v>
      </c>
      <c r="H421" s="2" t="s">
        <v>243</v>
      </c>
      <c r="I421" s="2" t="s">
        <v>54</v>
      </c>
      <c r="J421" s="2" t="s">
        <v>43</v>
      </c>
      <c r="K421" s="2" t="s">
        <v>277</v>
      </c>
      <c r="L421" s="2" t="s">
        <v>613</v>
      </c>
      <c r="M421" s="2" t="s">
        <v>2618</v>
      </c>
      <c r="N421" s="2" t="n">
        <v>1</v>
      </c>
      <c r="O421" s="2" t="n">
        <v>0.3</v>
      </c>
      <c r="P421" s="2" t="n">
        <v>2.56</v>
      </c>
      <c r="Q421" s="2" t="n">
        <v>49.26</v>
      </c>
      <c r="R421" s="2" t="s">
        <v>32</v>
      </c>
      <c r="S421" s="2" t="s">
        <v>60</v>
      </c>
    </row>
    <row r="422" customFormat="false" ht="15" hidden="false" customHeight="false" outlineLevel="0" collapsed="false">
      <c r="A422" s="2" t="s">
        <v>2619</v>
      </c>
      <c r="B422" s="2" t="s">
        <v>2620</v>
      </c>
      <c r="C422" s="2" t="s">
        <v>2621</v>
      </c>
      <c r="D422" s="2" t="s">
        <v>2622</v>
      </c>
      <c r="E422" s="2" t="s">
        <v>2623</v>
      </c>
      <c r="F422" s="2" t="s">
        <v>24</v>
      </c>
      <c r="G422" s="2" t="s">
        <v>620</v>
      </c>
      <c r="H422" s="2" t="s">
        <v>68</v>
      </c>
      <c r="I422" s="2" t="s">
        <v>42</v>
      </c>
      <c r="J422" s="2" t="s">
        <v>129</v>
      </c>
      <c r="K422" s="2" t="s">
        <v>199</v>
      </c>
      <c r="L422" s="2" t="s">
        <v>851</v>
      </c>
      <c r="M422" s="2" t="s">
        <v>2624</v>
      </c>
      <c r="N422" s="2" t="n">
        <v>10</v>
      </c>
      <c r="O422" s="2" t="n">
        <v>0.3</v>
      </c>
      <c r="P422" s="2" t="n">
        <v>3.76</v>
      </c>
      <c r="Q422" s="2" t="n">
        <v>35.42</v>
      </c>
      <c r="R422" s="2" t="s">
        <v>86</v>
      </c>
      <c r="S422" s="2" t="s">
        <v>60</v>
      </c>
    </row>
    <row r="423" customFormat="false" ht="15" hidden="false" customHeight="false" outlineLevel="0" collapsed="false">
      <c r="A423" s="2" t="s">
        <v>2625</v>
      </c>
      <c r="B423" s="2" t="s">
        <v>2626</v>
      </c>
      <c r="C423" s="2" t="s">
        <v>2627</v>
      </c>
      <c r="D423" s="2" t="s">
        <v>2628</v>
      </c>
      <c r="E423" s="2" t="s">
        <v>2629</v>
      </c>
      <c r="F423" s="2" t="s">
        <v>267</v>
      </c>
      <c r="G423" s="2" t="s">
        <v>80</v>
      </c>
      <c r="H423" s="2" t="s">
        <v>81</v>
      </c>
      <c r="I423" s="2" t="s">
        <v>42</v>
      </c>
      <c r="J423" s="2" t="s">
        <v>55</v>
      </c>
      <c r="K423" s="2" t="s">
        <v>44</v>
      </c>
      <c r="L423" s="2" t="s">
        <v>351</v>
      </c>
      <c r="M423" s="2" t="s">
        <v>2630</v>
      </c>
      <c r="N423" s="2" t="n">
        <v>3</v>
      </c>
      <c r="O423" s="2" t="n">
        <v>0.2</v>
      </c>
      <c r="P423" s="2" t="n">
        <v>238.03</v>
      </c>
      <c r="Q423" s="2"/>
      <c r="R423" s="2" t="s">
        <v>202</v>
      </c>
      <c r="S423" s="2" t="s">
        <v>33</v>
      </c>
    </row>
    <row r="424" customFormat="false" ht="15" hidden="false" customHeight="false" outlineLevel="0" collapsed="false">
      <c r="A424" s="2" t="s">
        <v>2631</v>
      </c>
      <c r="B424" s="2" t="s">
        <v>2632</v>
      </c>
      <c r="C424" s="2" t="s">
        <v>2633</v>
      </c>
      <c r="D424" s="2" t="s">
        <v>2634</v>
      </c>
      <c r="E424" s="2" t="s">
        <v>2635</v>
      </c>
      <c r="F424" s="2" t="s">
        <v>39</v>
      </c>
      <c r="G424" s="2"/>
      <c r="H424" s="2" t="s">
        <v>169</v>
      </c>
      <c r="I424" s="2" t="s">
        <v>106</v>
      </c>
      <c r="J424" s="2" t="s">
        <v>28</v>
      </c>
      <c r="K424" s="2" t="s">
        <v>83</v>
      </c>
      <c r="L424" s="2" t="s">
        <v>84</v>
      </c>
      <c r="M424" s="2" t="s">
        <v>2636</v>
      </c>
      <c r="N424" s="2" t="n">
        <v>8</v>
      </c>
      <c r="O424" s="2" t="n">
        <v>0.4</v>
      </c>
      <c r="P424" s="2" t="n">
        <v>7.43</v>
      </c>
      <c r="Q424" s="2" t="n">
        <v>5.15</v>
      </c>
      <c r="R424" s="2" t="s">
        <v>190</v>
      </c>
      <c r="S424" s="2" t="s">
        <v>110</v>
      </c>
    </row>
    <row r="425" customFormat="false" ht="15" hidden="false" customHeight="false" outlineLevel="0" collapsed="false">
      <c r="A425" s="2" t="s">
        <v>2637</v>
      </c>
      <c r="B425" s="2" t="s">
        <v>2638</v>
      </c>
      <c r="C425" s="2" t="s">
        <v>2639</v>
      </c>
      <c r="D425" s="2" t="s">
        <v>899</v>
      </c>
      <c r="E425" s="2" t="s">
        <v>900</v>
      </c>
      <c r="F425" s="2" t="s">
        <v>179</v>
      </c>
      <c r="G425" s="2" t="s">
        <v>150</v>
      </c>
      <c r="H425" s="2" t="s">
        <v>151</v>
      </c>
      <c r="I425" s="2" t="s">
        <v>27</v>
      </c>
      <c r="J425" s="2" t="s">
        <v>43</v>
      </c>
      <c r="K425" s="2" t="s">
        <v>44</v>
      </c>
      <c r="L425" s="2" t="s">
        <v>45</v>
      </c>
      <c r="M425" s="2" t="s">
        <v>2640</v>
      </c>
      <c r="N425" s="2" t="n">
        <v>2</v>
      </c>
      <c r="O425" s="2" t="n">
        <v>0.1</v>
      </c>
      <c r="P425" s="2" t="n">
        <v>237.86</v>
      </c>
      <c r="Q425" s="2" t="n">
        <v>8.18</v>
      </c>
      <c r="R425" s="2" t="s">
        <v>109</v>
      </c>
      <c r="S425" s="2" t="s">
        <v>33</v>
      </c>
    </row>
    <row r="426" customFormat="false" ht="15" hidden="false" customHeight="false" outlineLevel="0" collapsed="false">
      <c r="A426" s="2" t="s">
        <v>2641</v>
      </c>
      <c r="B426" s="2" t="s">
        <v>2642</v>
      </c>
      <c r="C426" s="2" t="s">
        <v>2643</v>
      </c>
      <c r="D426" s="2" t="s">
        <v>2644</v>
      </c>
      <c r="E426" s="2" t="s">
        <v>2645</v>
      </c>
      <c r="F426" s="2" t="s">
        <v>24</v>
      </c>
      <c r="G426" s="2" t="s">
        <v>450</v>
      </c>
      <c r="H426" s="2" t="s">
        <v>259</v>
      </c>
      <c r="I426" s="2" t="s">
        <v>106</v>
      </c>
      <c r="J426" s="2" t="s">
        <v>343</v>
      </c>
      <c r="K426" s="2" t="s">
        <v>234</v>
      </c>
      <c r="L426" s="2" t="s">
        <v>344</v>
      </c>
      <c r="M426" s="2" t="s">
        <v>2646</v>
      </c>
      <c r="N426" s="2" t="n">
        <v>3</v>
      </c>
      <c r="O426" s="2" t="n">
        <v>0</v>
      </c>
      <c r="P426" s="2" t="n">
        <v>641.91</v>
      </c>
      <c r="Q426" s="2" t="n">
        <v>3.86</v>
      </c>
      <c r="R426" s="2" t="s">
        <v>32</v>
      </c>
      <c r="S426" s="2" t="s">
        <v>73</v>
      </c>
    </row>
    <row r="427" customFormat="false" ht="15" hidden="false" customHeight="false" outlineLevel="0" collapsed="false">
      <c r="A427" s="2" t="s">
        <v>2647</v>
      </c>
      <c r="B427" s="2" t="s">
        <v>2648</v>
      </c>
      <c r="C427" s="2" t="s">
        <v>2649</v>
      </c>
      <c r="D427" s="2" t="s">
        <v>2650</v>
      </c>
      <c r="E427" s="2" t="s">
        <v>2651</v>
      </c>
      <c r="F427" s="2" t="s">
        <v>39</v>
      </c>
      <c r="G427" s="2" t="s">
        <v>2652</v>
      </c>
      <c r="H427" s="2" t="s">
        <v>198</v>
      </c>
      <c r="I427" s="2" t="s">
        <v>106</v>
      </c>
      <c r="J427" s="2" t="s">
        <v>28</v>
      </c>
      <c r="K427" s="2" t="s">
        <v>118</v>
      </c>
      <c r="L427" s="2" t="s">
        <v>119</v>
      </c>
      <c r="M427" s="2" t="s">
        <v>2653</v>
      </c>
      <c r="N427" s="2" t="n">
        <v>6</v>
      </c>
      <c r="O427" s="2" t="n">
        <v>0.15</v>
      </c>
      <c r="P427" s="2" t="n">
        <v>409.29</v>
      </c>
      <c r="Q427" s="2" t="n">
        <v>13.56</v>
      </c>
      <c r="R427" s="2" t="s">
        <v>109</v>
      </c>
      <c r="S427" s="2" t="s">
        <v>33</v>
      </c>
    </row>
    <row r="428" customFormat="false" ht="15" hidden="false" customHeight="false" outlineLevel="0" collapsed="false">
      <c r="A428" s="2" t="s">
        <v>2654</v>
      </c>
      <c r="B428" s="2" t="s">
        <v>2655</v>
      </c>
      <c r="C428" s="2" t="s">
        <v>2656</v>
      </c>
      <c r="D428" s="2" t="s">
        <v>2657</v>
      </c>
      <c r="E428" s="2" t="s">
        <v>2658</v>
      </c>
      <c r="F428" s="2" t="s">
        <v>24</v>
      </c>
      <c r="G428" s="2" t="s">
        <v>430</v>
      </c>
      <c r="H428" s="2" t="s">
        <v>128</v>
      </c>
      <c r="I428" s="2" t="s">
        <v>42</v>
      </c>
      <c r="J428" s="2" t="s">
        <v>55</v>
      </c>
      <c r="K428" s="2" t="s">
        <v>44</v>
      </c>
      <c r="L428" s="2" t="s">
        <v>351</v>
      </c>
      <c r="M428" s="2" t="s">
        <v>2659</v>
      </c>
      <c r="N428" s="2" t="n">
        <v>5</v>
      </c>
      <c r="O428" s="2" t="n">
        <v>0.3</v>
      </c>
      <c r="P428" s="2" t="n">
        <v>0.4</v>
      </c>
      <c r="Q428" s="2" t="n">
        <v>43.65</v>
      </c>
      <c r="R428" s="2" t="s">
        <v>72</v>
      </c>
      <c r="S428" s="2" t="s">
        <v>73</v>
      </c>
    </row>
    <row r="429" customFormat="false" ht="15" hidden="false" customHeight="false" outlineLevel="0" collapsed="false">
      <c r="A429" s="2" t="s">
        <v>2660</v>
      </c>
      <c r="B429" s="2" t="s">
        <v>2661</v>
      </c>
      <c r="C429" s="2" t="s">
        <v>2662</v>
      </c>
      <c r="D429" s="2" t="s">
        <v>2411</v>
      </c>
      <c r="E429" s="2" t="s">
        <v>2412</v>
      </c>
      <c r="F429" s="2" t="s">
        <v>66</v>
      </c>
      <c r="G429" s="2" t="s">
        <v>40</v>
      </c>
      <c r="H429" s="2" t="s">
        <v>41</v>
      </c>
      <c r="I429" s="2" t="s">
        <v>42</v>
      </c>
      <c r="J429" s="2" t="s">
        <v>55</v>
      </c>
      <c r="K429" s="2" t="s">
        <v>44</v>
      </c>
      <c r="L429" s="2" t="s">
        <v>351</v>
      </c>
      <c r="M429" s="2" t="s">
        <v>2663</v>
      </c>
      <c r="N429" s="2" t="n">
        <v>7</v>
      </c>
      <c r="O429" s="2" t="n">
        <v>0</v>
      </c>
      <c r="P429" s="2" t="n">
        <v>402.6</v>
      </c>
      <c r="Q429" s="2" t="n">
        <v>9.76</v>
      </c>
      <c r="R429" s="2" t="s">
        <v>72</v>
      </c>
      <c r="S429" s="2" t="s">
        <v>33</v>
      </c>
    </row>
    <row r="430" customFormat="false" ht="15" hidden="false" customHeight="false" outlineLevel="0" collapsed="false">
      <c r="A430" s="2" t="s">
        <v>2664</v>
      </c>
      <c r="B430" s="2" t="s">
        <v>2665</v>
      </c>
      <c r="C430" s="2" t="s">
        <v>2666</v>
      </c>
      <c r="D430" s="2" t="s">
        <v>2667</v>
      </c>
      <c r="E430" s="2"/>
      <c r="F430" s="2" t="s">
        <v>66</v>
      </c>
      <c r="G430" s="2" t="s">
        <v>342</v>
      </c>
      <c r="H430" s="2" t="s">
        <v>225</v>
      </c>
      <c r="I430" s="2" t="s">
        <v>42</v>
      </c>
      <c r="J430" s="2" t="s">
        <v>93</v>
      </c>
      <c r="K430" s="2" t="s">
        <v>199</v>
      </c>
      <c r="L430" s="2" t="s">
        <v>789</v>
      </c>
      <c r="M430" s="2" t="s">
        <v>2668</v>
      </c>
      <c r="N430" s="2" t="n">
        <v>9</v>
      </c>
      <c r="O430" s="2" t="n">
        <v>0.2</v>
      </c>
      <c r="P430" s="2" t="n">
        <v>9.45</v>
      </c>
      <c r="Q430" s="2" t="n">
        <v>26.1</v>
      </c>
      <c r="R430" s="2" t="s">
        <v>162</v>
      </c>
      <c r="S430" s="2" t="s">
        <v>60</v>
      </c>
    </row>
    <row r="431" customFormat="false" ht="15" hidden="false" customHeight="false" outlineLevel="0" collapsed="false">
      <c r="A431" s="2" t="s">
        <v>2669</v>
      </c>
      <c r="B431" s="2" t="s">
        <v>2670</v>
      </c>
      <c r="C431" s="2" t="s">
        <v>2671</v>
      </c>
      <c r="D431" s="2" t="s">
        <v>869</v>
      </c>
      <c r="E431" s="2" t="s">
        <v>870</v>
      </c>
      <c r="F431" s="2" t="s">
        <v>39</v>
      </c>
      <c r="G431" s="2" t="s">
        <v>1254</v>
      </c>
      <c r="H431" s="2" t="s">
        <v>243</v>
      </c>
      <c r="I431" s="2" t="s">
        <v>54</v>
      </c>
      <c r="J431" s="2" t="s">
        <v>82</v>
      </c>
      <c r="K431" s="2" t="s">
        <v>234</v>
      </c>
      <c r="L431" s="2" t="s">
        <v>495</v>
      </c>
      <c r="M431" s="2" t="s">
        <v>2672</v>
      </c>
      <c r="N431" s="2" t="n">
        <v>11</v>
      </c>
      <c r="O431" s="2" t="n">
        <v>0.3</v>
      </c>
      <c r="P431" s="2" t="n">
        <v>23.94</v>
      </c>
      <c r="Q431" s="2" t="n">
        <v>54.44</v>
      </c>
      <c r="R431" s="2" t="s">
        <v>86</v>
      </c>
      <c r="S431" s="2" t="s">
        <v>60</v>
      </c>
    </row>
    <row r="432" customFormat="false" ht="15" hidden="false" customHeight="false" outlineLevel="0" collapsed="false">
      <c r="A432" s="2" t="s">
        <v>2673</v>
      </c>
      <c r="B432" s="2" t="s">
        <v>2674</v>
      </c>
      <c r="C432" s="2" t="s">
        <v>2675</v>
      </c>
      <c r="D432" s="2" t="s">
        <v>1649</v>
      </c>
      <c r="E432" s="2" t="s">
        <v>1650</v>
      </c>
      <c r="F432" s="2" t="s">
        <v>179</v>
      </c>
      <c r="G432" s="2" t="s">
        <v>168</v>
      </c>
      <c r="H432" s="2" t="s">
        <v>169</v>
      </c>
      <c r="I432" s="2" t="s">
        <v>106</v>
      </c>
      <c r="J432" s="2" t="s">
        <v>93</v>
      </c>
      <c r="K432" s="2" t="s">
        <v>94</v>
      </c>
      <c r="L432" s="2" t="s">
        <v>95</v>
      </c>
      <c r="M432" s="2" t="s">
        <v>2676</v>
      </c>
      <c r="N432" s="2" t="n">
        <v>9</v>
      </c>
      <c r="O432" s="2" t="n">
        <v>0.1</v>
      </c>
      <c r="P432" s="2" t="n">
        <v>32.36</v>
      </c>
      <c r="Q432" s="2" t="n">
        <v>17.39</v>
      </c>
      <c r="R432" s="2" t="s">
        <v>162</v>
      </c>
      <c r="S432" s="2" t="s">
        <v>60</v>
      </c>
    </row>
    <row r="433" customFormat="false" ht="15" hidden="false" customHeight="false" outlineLevel="0" collapsed="false">
      <c r="A433" s="2" t="s">
        <v>2677</v>
      </c>
      <c r="B433" s="2" t="s">
        <v>2678</v>
      </c>
      <c r="C433" s="2" t="s">
        <v>113</v>
      </c>
      <c r="D433" s="2" t="s">
        <v>2679</v>
      </c>
      <c r="E433" s="2" t="s">
        <v>2680</v>
      </c>
      <c r="F433" s="2" t="s">
        <v>66</v>
      </c>
      <c r="G433" s="2" t="s">
        <v>595</v>
      </c>
      <c r="H433" s="2" t="s">
        <v>140</v>
      </c>
      <c r="I433" s="2" t="s">
        <v>54</v>
      </c>
      <c r="J433" s="2" t="s">
        <v>343</v>
      </c>
      <c r="K433" s="2" t="s">
        <v>29</v>
      </c>
      <c r="L433" s="2" t="s">
        <v>374</v>
      </c>
      <c r="M433" s="2" t="s">
        <v>2681</v>
      </c>
      <c r="N433" s="2" t="n">
        <v>3</v>
      </c>
      <c r="O433" s="2" t="n">
        <v>0.1</v>
      </c>
      <c r="P433" s="2" t="n">
        <v>79.95</v>
      </c>
      <c r="Q433" s="2" t="n">
        <v>40.65</v>
      </c>
      <c r="R433" s="2" t="s">
        <v>47</v>
      </c>
      <c r="S433" s="2" t="s">
        <v>110</v>
      </c>
    </row>
    <row r="434" customFormat="false" ht="15" hidden="false" customHeight="false" outlineLevel="0" collapsed="false">
      <c r="A434" s="2" t="s">
        <v>2682</v>
      </c>
      <c r="B434" s="2" t="s">
        <v>2683</v>
      </c>
      <c r="C434" s="2" t="s">
        <v>2684</v>
      </c>
      <c r="D434" s="2" t="s">
        <v>2685</v>
      </c>
      <c r="E434" s="2" t="s">
        <v>2686</v>
      </c>
      <c r="F434" s="2" t="s">
        <v>24</v>
      </c>
      <c r="G434" s="2" t="s">
        <v>2687</v>
      </c>
      <c r="H434" s="2" t="s">
        <v>41</v>
      </c>
      <c r="I434" s="2" t="s">
        <v>42</v>
      </c>
      <c r="J434" s="2" t="s">
        <v>82</v>
      </c>
      <c r="K434" s="2" t="s">
        <v>118</v>
      </c>
      <c r="L434" s="2" t="s">
        <v>260</v>
      </c>
      <c r="M434" s="2" t="s">
        <v>2688</v>
      </c>
      <c r="N434" s="2" t="n">
        <v>5</v>
      </c>
      <c r="O434" s="2" t="n">
        <v>0.2</v>
      </c>
      <c r="P434" s="2" t="n">
        <v>173.85</v>
      </c>
      <c r="Q434" s="2" t="n">
        <v>11.06</v>
      </c>
      <c r="R434" s="2" t="s">
        <v>181</v>
      </c>
      <c r="S434" s="2" t="s">
        <v>60</v>
      </c>
    </row>
    <row r="435" customFormat="false" ht="15" hidden="false" customHeight="false" outlineLevel="0" collapsed="false">
      <c r="A435" s="2" t="s">
        <v>2689</v>
      </c>
      <c r="B435" s="2" t="s">
        <v>2690</v>
      </c>
      <c r="C435" s="2" t="s">
        <v>2538</v>
      </c>
      <c r="D435" s="2" t="s">
        <v>2691</v>
      </c>
      <c r="E435" s="2" t="s">
        <v>2692</v>
      </c>
      <c r="F435" s="2" t="s">
        <v>39</v>
      </c>
      <c r="G435" s="2" t="s">
        <v>595</v>
      </c>
      <c r="H435" s="2" t="s">
        <v>140</v>
      </c>
      <c r="I435" s="2" t="s">
        <v>54</v>
      </c>
      <c r="J435" s="2" t="s">
        <v>28</v>
      </c>
      <c r="K435" s="2" t="s">
        <v>234</v>
      </c>
      <c r="L435" s="2" t="s">
        <v>344</v>
      </c>
      <c r="M435" s="2" t="s">
        <v>2693</v>
      </c>
      <c r="N435" s="2" t="n">
        <v>8</v>
      </c>
      <c r="O435" s="2" t="n">
        <v>0.5</v>
      </c>
      <c r="P435" s="2" t="n">
        <v>-221.01</v>
      </c>
      <c r="Q435" s="2" t="n">
        <v>4.86</v>
      </c>
      <c r="R435" s="2" t="s">
        <v>133</v>
      </c>
      <c r="S435" s="2" t="s">
        <v>110</v>
      </c>
    </row>
    <row r="436" customFormat="false" ht="15" hidden="false" customHeight="false" outlineLevel="0" collapsed="false">
      <c r="A436" s="2" t="s">
        <v>2694</v>
      </c>
      <c r="B436" s="2" t="s">
        <v>2695</v>
      </c>
      <c r="C436" s="2" t="s">
        <v>1097</v>
      </c>
      <c r="D436" s="2" t="s">
        <v>2696</v>
      </c>
      <c r="E436" s="2" t="s">
        <v>2697</v>
      </c>
      <c r="F436" s="2" t="s">
        <v>66</v>
      </c>
      <c r="G436" s="2" t="s">
        <v>1359</v>
      </c>
      <c r="H436" s="2" t="s">
        <v>209</v>
      </c>
      <c r="I436" s="2" t="s">
        <v>27</v>
      </c>
      <c r="J436" s="2" t="s">
        <v>82</v>
      </c>
      <c r="K436" s="2" t="s">
        <v>83</v>
      </c>
      <c r="L436" s="2" t="s">
        <v>569</v>
      </c>
      <c r="M436" s="2" t="s">
        <v>2698</v>
      </c>
      <c r="N436" s="2" t="n">
        <v>5</v>
      </c>
      <c r="O436" s="2" t="n">
        <v>0.2</v>
      </c>
      <c r="P436" s="2" t="n">
        <v>97.55</v>
      </c>
      <c r="Q436" s="2" t="n">
        <v>18.76</v>
      </c>
      <c r="R436" s="2" t="s">
        <v>181</v>
      </c>
      <c r="S436" s="2" t="s">
        <v>110</v>
      </c>
    </row>
    <row r="437" customFormat="false" ht="15" hidden="false" customHeight="false" outlineLevel="0" collapsed="false">
      <c r="A437" s="2" t="s">
        <v>2699</v>
      </c>
      <c r="B437" s="2" t="s">
        <v>2700</v>
      </c>
      <c r="C437" s="2" t="s">
        <v>2701</v>
      </c>
      <c r="D437" s="2" t="s">
        <v>2702</v>
      </c>
      <c r="E437" s="2" t="s">
        <v>2703</v>
      </c>
      <c r="F437" s="2" t="s">
        <v>103</v>
      </c>
      <c r="G437" s="2" t="s">
        <v>683</v>
      </c>
      <c r="H437" s="2" t="s">
        <v>612</v>
      </c>
      <c r="I437" s="2" t="s">
        <v>106</v>
      </c>
      <c r="J437" s="2" t="s">
        <v>343</v>
      </c>
      <c r="K437" s="2" t="s">
        <v>118</v>
      </c>
      <c r="L437" s="2" t="s">
        <v>260</v>
      </c>
      <c r="M437" s="2" t="s">
        <v>2704</v>
      </c>
      <c r="N437" s="2" t="n">
        <v>6</v>
      </c>
      <c r="O437" s="2" t="n">
        <v>0</v>
      </c>
      <c r="P437" s="2" t="n">
        <v>1054.43</v>
      </c>
      <c r="Q437" s="2" t="n">
        <v>45.02</v>
      </c>
      <c r="R437" s="2" t="s">
        <v>1863</v>
      </c>
      <c r="S437" s="2" t="s">
        <v>73</v>
      </c>
    </row>
    <row r="438" customFormat="false" ht="15" hidden="false" customHeight="false" outlineLevel="0" collapsed="false">
      <c r="A438" s="2" t="s">
        <v>2705</v>
      </c>
      <c r="B438" s="2" t="s">
        <v>2706</v>
      </c>
      <c r="C438" s="2" t="s">
        <v>2707</v>
      </c>
      <c r="D438" s="2" t="s">
        <v>2708</v>
      </c>
      <c r="E438" s="2" t="s">
        <v>2709</v>
      </c>
      <c r="F438" s="2" t="s">
        <v>24</v>
      </c>
      <c r="G438" s="2" t="s">
        <v>728</v>
      </c>
      <c r="H438" s="2" t="s">
        <v>209</v>
      </c>
      <c r="I438" s="2" t="s">
        <v>27</v>
      </c>
      <c r="J438" s="2" t="s">
        <v>82</v>
      </c>
      <c r="K438" s="2" t="s">
        <v>29</v>
      </c>
      <c r="L438" s="2" t="s">
        <v>374</v>
      </c>
      <c r="M438" s="2" t="s">
        <v>2710</v>
      </c>
      <c r="N438" s="2" t="n">
        <v>5</v>
      </c>
      <c r="O438" s="2" t="n">
        <v>0.2</v>
      </c>
      <c r="P438" s="2" t="n">
        <v>900.32</v>
      </c>
      <c r="Q438" s="2" t="n">
        <v>24.84</v>
      </c>
      <c r="R438" s="2" t="s">
        <v>47</v>
      </c>
      <c r="S438" s="2" t="s">
        <v>110</v>
      </c>
    </row>
    <row r="439" customFormat="false" ht="15" hidden="false" customHeight="false" outlineLevel="0" collapsed="false">
      <c r="A439" s="2" t="s">
        <v>2711</v>
      </c>
      <c r="B439" s="2" t="s">
        <v>2712</v>
      </c>
      <c r="C439" s="2" t="s">
        <v>2713</v>
      </c>
      <c r="D439" s="2" t="s">
        <v>2714</v>
      </c>
      <c r="E439" s="2" t="s">
        <v>2715</v>
      </c>
      <c r="F439" s="2" t="s">
        <v>39</v>
      </c>
      <c r="G439" s="2" t="s">
        <v>450</v>
      </c>
      <c r="H439" s="2" t="s">
        <v>259</v>
      </c>
      <c r="I439" s="2" t="s">
        <v>106</v>
      </c>
      <c r="J439" s="2" t="s">
        <v>55</v>
      </c>
      <c r="K439" s="2" t="s">
        <v>277</v>
      </c>
      <c r="L439" s="2" t="s">
        <v>613</v>
      </c>
      <c r="M439" s="2" t="s">
        <v>2716</v>
      </c>
      <c r="N439" s="2" t="n">
        <v>2</v>
      </c>
      <c r="O439" s="2" t="n">
        <v>0</v>
      </c>
      <c r="P439" s="2" t="n">
        <v>91.35</v>
      </c>
      <c r="Q439" s="2" t="n">
        <v>16.69</v>
      </c>
      <c r="R439" s="2" t="s">
        <v>133</v>
      </c>
      <c r="S439" s="2" t="s">
        <v>110</v>
      </c>
    </row>
    <row r="440" customFormat="false" ht="15" hidden="false" customHeight="false" outlineLevel="0" collapsed="false">
      <c r="A440" s="2" t="s">
        <v>2717</v>
      </c>
      <c r="B440" s="2" t="s">
        <v>2614</v>
      </c>
      <c r="C440" s="2" t="s">
        <v>2615</v>
      </c>
      <c r="D440" s="2" t="s">
        <v>2718</v>
      </c>
      <c r="E440" s="2" t="s">
        <v>2719</v>
      </c>
      <c r="F440" s="2" t="s">
        <v>24</v>
      </c>
      <c r="G440" s="2" t="s">
        <v>759</v>
      </c>
      <c r="H440" s="2" t="s">
        <v>160</v>
      </c>
      <c r="I440" s="2" t="s">
        <v>27</v>
      </c>
      <c r="J440" s="2" t="s">
        <v>28</v>
      </c>
      <c r="K440" s="2" t="s">
        <v>118</v>
      </c>
      <c r="L440" s="2" t="s">
        <v>260</v>
      </c>
      <c r="M440" s="2" t="s">
        <v>2720</v>
      </c>
      <c r="N440" s="2" t="n">
        <v>8</v>
      </c>
      <c r="O440" s="2" t="n">
        <v>0.5</v>
      </c>
      <c r="P440" s="2" t="n">
        <v>-913.46</v>
      </c>
      <c r="Q440" s="2" t="n">
        <v>18.76</v>
      </c>
      <c r="R440" s="2" t="s">
        <v>72</v>
      </c>
      <c r="S440" s="2" t="s">
        <v>33</v>
      </c>
    </row>
    <row r="441" customFormat="false" ht="15" hidden="false" customHeight="false" outlineLevel="0" collapsed="false">
      <c r="A441" s="2" t="s">
        <v>2721</v>
      </c>
      <c r="B441" s="2" t="s">
        <v>2722</v>
      </c>
      <c r="C441" s="2" t="s">
        <v>2723</v>
      </c>
      <c r="D441" s="2" t="s">
        <v>2219</v>
      </c>
      <c r="E441" s="2" t="s">
        <v>2220</v>
      </c>
      <c r="F441" s="2" t="s">
        <v>103</v>
      </c>
      <c r="G441" s="2" t="s">
        <v>159</v>
      </c>
      <c r="H441" s="2" t="s">
        <v>160</v>
      </c>
      <c r="I441" s="2" t="s">
        <v>27</v>
      </c>
      <c r="J441" s="2" t="s">
        <v>244</v>
      </c>
      <c r="K441" s="2" t="s">
        <v>56</v>
      </c>
      <c r="L441" s="2" t="s">
        <v>536</v>
      </c>
      <c r="M441" s="2" t="s">
        <v>2724</v>
      </c>
      <c r="N441" s="2" t="n">
        <v>4</v>
      </c>
      <c r="O441" s="2" t="n">
        <v>0.1</v>
      </c>
      <c r="P441" s="2" t="n">
        <v>116.12</v>
      </c>
      <c r="Q441" s="2" t="n">
        <v>29.13</v>
      </c>
      <c r="R441" s="2" t="s">
        <v>47</v>
      </c>
      <c r="S441" s="2" t="s">
        <v>73</v>
      </c>
    </row>
    <row r="442" customFormat="false" ht="15" hidden="false" customHeight="false" outlineLevel="0" collapsed="false">
      <c r="A442" s="2" t="s">
        <v>2725</v>
      </c>
      <c r="B442" s="2" t="s">
        <v>2726</v>
      </c>
      <c r="C442" s="2" t="s">
        <v>2727</v>
      </c>
      <c r="D442" s="2" t="s">
        <v>2728</v>
      </c>
      <c r="E442" s="2" t="s">
        <v>2729</v>
      </c>
      <c r="F442" s="2" t="s">
        <v>179</v>
      </c>
      <c r="G442" s="2" t="s">
        <v>1566</v>
      </c>
      <c r="H442" s="2" t="s">
        <v>612</v>
      </c>
      <c r="I442" s="2" t="s">
        <v>106</v>
      </c>
      <c r="J442" s="2" t="s">
        <v>55</v>
      </c>
      <c r="K442" s="2" t="s">
        <v>69</v>
      </c>
      <c r="L442" s="2" t="s">
        <v>107</v>
      </c>
      <c r="M442" s="2" t="s">
        <v>2730</v>
      </c>
      <c r="N442" s="2" t="n">
        <v>2</v>
      </c>
      <c r="O442" s="2" t="n">
        <v>0.2</v>
      </c>
      <c r="P442" s="2" t="n">
        <v>76.36</v>
      </c>
      <c r="Q442" s="2" t="n">
        <v>57.59</v>
      </c>
      <c r="R442" s="2" t="s">
        <v>97</v>
      </c>
      <c r="S442" s="2" t="s">
        <v>73</v>
      </c>
    </row>
    <row r="443" customFormat="false" ht="15" hidden="false" customHeight="false" outlineLevel="0" collapsed="false">
      <c r="A443" s="2" t="s">
        <v>2731</v>
      </c>
      <c r="B443" s="2" t="s">
        <v>2732</v>
      </c>
      <c r="C443" s="2" t="s">
        <v>2733</v>
      </c>
      <c r="D443" s="2" t="s">
        <v>1066</v>
      </c>
      <c r="E443" s="2" t="s">
        <v>1067</v>
      </c>
      <c r="F443" s="2" t="s">
        <v>103</v>
      </c>
      <c r="G443" s="2" t="s">
        <v>1180</v>
      </c>
      <c r="H443" s="2" t="s">
        <v>480</v>
      </c>
      <c r="I443" s="2" t="s">
        <v>54</v>
      </c>
      <c r="J443" s="2" t="s">
        <v>93</v>
      </c>
      <c r="K443" s="2" t="s">
        <v>141</v>
      </c>
      <c r="L443" s="2" t="s">
        <v>864</v>
      </c>
      <c r="M443" s="2" t="s">
        <v>2734</v>
      </c>
      <c r="N443" s="2" t="n">
        <v>5</v>
      </c>
      <c r="O443" s="2" t="n">
        <v>0</v>
      </c>
      <c r="P443" s="2" t="n">
        <v>97.93</v>
      </c>
      <c r="Q443" s="2" t="n">
        <v>41.73</v>
      </c>
      <c r="R443" s="2" t="s">
        <v>162</v>
      </c>
      <c r="S443" s="2" t="s">
        <v>33</v>
      </c>
    </row>
    <row r="444" customFormat="false" ht="15" hidden="false" customHeight="false" outlineLevel="0" collapsed="false">
      <c r="A444" s="2" t="s">
        <v>2735</v>
      </c>
      <c r="B444" s="2" t="s">
        <v>2736</v>
      </c>
      <c r="C444" s="2" t="s">
        <v>2737</v>
      </c>
      <c r="D444" s="2" t="s">
        <v>2738</v>
      </c>
      <c r="E444" s="2" t="s">
        <v>2739</v>
      </c>
      <c r="F444" s="2" t="s">
        <v>66</v>
      </c>
      <c r="G444" s="2" t="s">
        <v>922</v>
      </c>
      <c r="H444" s="2" t="s">
        <v>53</v>
      </c>
      <c r="I444" s="2" t="s">
        <v>54</v>
      </c>
      <c r="J444" s="2" t="s">
        <v>82</v>
      </c>
      <c r="K444" s="2" t="s">
        <v>234</v>
      </c>
      <c r="L444" s="2" t="s">
        <v>235</v>
      </c>
      <c r="M444" s="2" t="s">
        <v>2740</v>
      </c>
      <c r="N444" s="2" t="n">
        <v>4</v>
      </c>
      <c r="O444" s="2" t="n">
        <v>0.1</v>
      </c>
      <c r="P444" s="2" t="n">
        <v>269.58</v>
      </c>
      <c r="Q444" s="2" t="n">
        <v>42.43</v>
      </c>
      <c r="R444" s="2" t="s">
        <v>181</v>
      </c>
      <c r="S444" s="2" t="s">
        <v>110</v>
      </c>
    </row>
    <row r="445" customFormat="false" ht="15" hidden="false" customHeight="false" outlineLevel="0" collapsed="false">
      <c r="A445" s="2" t="s">
        <v>2741</v>
      </c>
      <c r="B445" s="2" t="s">
        <v>2742</v>
      </c>
      <c r="C445" s="2" t="s">
        <v>2743</v>
      </c>
      <c r="D445" s="2" t="s">
        <v>2744</v>
      </c>
      <c r="E445" s="2" t="s">
        <v>2745</v>
      </c>
      <c r="F445" s="2" t="s">
        <v>66</v>
      </c>
      <c r="G445" s="2" t="s">
        <v>159</v>
      </c>
      <c r="H445" s="2" t="s">
        <v>160</v>
      </c>
      <c r="I445" s="2" t="s">
        <v>27</v>
      </c>
      <c r="J445" s="2" t="s">
        <v>129</v>
      </c>
      <c r="K445" s="2" t="s">
        <v>170</v>
      </c>
      <c r="L445" s="2" t="s">
        <v>226</v>
      </c>
      <c r="M445" s="2" t="s">
        <v>2746</v>
      </c>
      <c r="N445" s="2" t="n">
        <v>8</v>
      </c>
      <c r="O445" s="2" t="n">
        <v>0</v>
      </c>
      <c r="P445" s="2" t="n">
        <v>43.33</v>
      </c>
      <c r="Q445" s="2" t="n">
        <v>7.44</v>
      </c>
      <c r="R445" s="2" t="s">
        <v>162</v>
      </c>
      <c r="S445" s="2"/>
    </row>
    <row r="446" customFormat="false" ht="15" hidden="false" customHeight="false" outlineLevel="0" collapsed="false">
      <c r="A446" s="2" t="s">
        <v>2747</v>
      </c>
      <c r="B446" s="2" t="s">
        <v>2748</v>
      </c>
      <c r="C446" s="2" t="s">
        <v>2749</v>
      </c>
      <c r="D446" s="2" t="s">
        <v>707</v>
      </c>
      <c r="E446" s="2" t="s">
        <v>708</v>
      </c>
      <c r="F446" s="2" t="s">
        <v>196</v>
      </c>
      <c r="G446" s="2" t="s">
        <v>813</v>
      </c>
      <c r="H446" s="2" t="s">
        <v>151</v>
      </c>
      <c r="I446" s="2" t="s">
        <v>27</v>
      </c>
      <c r="J446" s="2" t="s">
        <v>82</v>
      </c>
      <c r="K446" s="2" t="s">
        <v>118</v>
      </c>
      <c r="L446" s="2" t="s">
        <v>119</v>
      </c>
      <c r="M446" s="2" t="s">
        <v>2750</v>
      </c>
      <c r="N446" s="2" t="n">
        <v>1</v>
      </c>
      <c r="O446" s="2" t="n">
        <v>0</v>
      </c>
      <c r="P446" s="2" t="n">
        <v>294.84</v>
      </c>
      <c r="Q446" s="2" t="n">
        <v>14.1</v>
      </c>
      <c r="R446" s="2" t="s">
        <v>32</v>
      </c>
      <c r="S446" s="2" t="s">
        <v>33</v>
      </c>
    </row>
    <row r="447" customFormat="false" ht="15" hidden="false" customHeight="false" outlineLevel="0" collapsed="false">
      <c r="A447" s="2" t="s">
        <v>2751</v>
      </c>
      <c r="B447" s="2" t="s">
        <v>2752</v>
      </c>
      <c r="C447" s="2" t="s">
        <v>2753</v>
      </c>
      <c r="D447" s="2" t="s">
        <v>2754</v>
      </c>
      <c r="E447" s="2" t="s">
        <v>2755</v>
      </c>
      <c r="F447" s="2" t="s">
        <v>267</v>
      </c>
      <c r="G447" s="2" t="s">
        <v>2756</v>
      </c>
      <c r="H447" s="2" t="s">
        <v>315</v>
      </c>
      <c r="I447" s="2" t="s">
        <v>54</v>
      </c>
      <c r="J447" s="2" t="s">
        <v>82</v>
      </c>
      <c r="K447" s="2" t="s">
        <v>83</v>
      </c>
      <c r="L447" s="2" t="s">
        <v>431</v>
      </c>
      <c r="M447" s="2" t="s">
        <v>2757</v>
      </c>
      <c r="N447" s="2" t="n">
        <v>3</v>
      </c>
      <c r="O447" s="2" t="n">
        <v>0.4</v>
      </c>
      <c r="P447" s="2" t="n">
        <v>-480.9</v>
      </c>
      <c r="Q447" s="2" t="n">
        <v>46.88</v>
      </c>
      <c r="R447" s="2" t="s">
        <v>97</v>
      </c>
      <c r="S447" s="2" t="s">
        <v>60</v>
      </c>
    </row>
    <row r="448" customFormat="false" ht="15" hidden="false" customHeight="false" outlineLevel="0" collapsed="false">
      <c r="A448" s="2" t="s">
        <v>2758</v>
      </c>
      <c r="B448" s="2" t="s">
        <v>2759</v>
      </c>
      <c r="C448" s="2" t="s">
        <v>2760</v>
      </c>
      <c r="D448" s="2" t="s">
        <v>2761</v>
      </c>
      <c r="E448" s="2" t="s">
        <v>2762</v>
      </c>
      <c r="F448" s="2" t="s">
        <v>24</v>
      </c>
      <c r="G448" s="2" t="s">
        <v>2763</v>
      </c>
      <c r="H448" s="2" t="s">
        <v>68</v>
      </c>
      <c r="I448" s="2" t="s">
        <v>42</v>
      </c>
      <c r="J448" s="2" t="s">
        <v>188</v>
      </c>
      <c r="K448" s="2" t="s">
        <v>44</v>
      </c>
      <c r="L448" s="2" t="s">
        <v>351</v>
      </c>
      <c r="M448" s="2" t="s">
        <v>2764</v>
      </c>
      <c r="N448" s="2" t="n">
        <v>7</v>
      </c>
      <c r="O448" s="2" t="n">
        <v>0.1</v>
      </c>
      <c r="P448" s="2" t="n">
        <v>689.72</v>
      </c>
      <c r="Q448" s="2" t="n">
        <v>2.52</v>
      </c>
      <c r="R448" s="2" t="s">
        <v>86</v>
      </c>
      <c r="S448" s="2" t="s">
        <v>110</v>
      </c>
    </row>
    <row r="449" customFormat="false" ht="15" hidden="false" customHeight="false" outlineLevel="0" collapsed="false">
      <c r="A449" s="2" t="s">
        <v>2765</v>
      </c>
      <c r="B449" s="2" t="s">
        <v>2766</v>
      </c>
      <c r="C449" s="2" t="s">
        <v>2767</v>
      </c>
      <c r="D449" s="2" t="s">
        <v>1042</v>
      </c>
      <c r="E449" s="2" t="s">
        <v>1043</v>
      </c>
      <c r="F449" s="2" t="s">
        <v>24</v>
      </c>
      <c r="G449" s="2" t="s">
        <v>268</v>
      </c>
      <c r="H449" s="2" t="s">
        <v>259</v>
      </c>
      <c r="I449" s="2" t="s">
        <v>106</v>
      </c>
      <c r="J449" s="2" t="s">
        <v>93</v>
      </c>
      <c r="K449" s="2" t="s">
        <v>388</v>
      </c>
      <c r="L449" s="2" t="s">
        <v>465</v>
      </c>
      <c r="M449" s="2" t="s">
        <v>2768</v>
      </c>
      <c r="N449" s="2" t="n">
        <v>11</v>
      </c>
      <c r="O449" s="2" t="n">
        <v>0</v>
      </c>
      <c r="P449" s="2" t="n">
        <v>34.94</v>
      </c>
      <c r="Q449" s="2" t="n">
        <v>2.4</v>
      </c>
      <c r="R449" s="2" t="s">
        <v>162</v>
      </c>
      <c r="S449" s="2" t="s">
        <v>33</v>
      </c>
    </row>
    <row r="450" customFormat="false" ht="15" hidden="false" customHeight="false" outlineLevel="0" collapsed="false">
      <c r="A450" s="2" t="s">
        <v>2769</v>
      </c>
      <c r="B450" s="2" t="s">
        <v>2770</v>
      </c>
      <c r="C450" s="2" t="s">
        <v>2771</v>
      </c>
      <c r="D450" s="2" t="s">
        <v>2772</v>
      </c>
      <c r="E450" s="2" t="s">
        <v>2773</v>
      </c>
      <c r="F450" s="2" t="s">
        <v>24</v>
      </c>
      <c r="G450" s="2" t="s">
        <v>2774</v>
      </c>
      <c r="H450" s="2" t="s">
        <v>480</v>
      </c>
      <c r="I450" s="2" t="s">
        <v>54</v>
      </c>
      <c r="J450" s="2" t="s">
        <v>343</v>
      </c>
      <c r="K450" s="2" t="s">
        <v>29</v>
      </c>
      <c r="L450" s="2" t="s">
        <v>30</v>
      </c>
      <c r="M450" s="2" t="s">
        <v>2775</v>
      </c>
      <c r="N450" s="2" t="n">
        <v>3</v>
      </c>
      <c r="O450" s="2" t="n">
        <v>0</v>
      </c>
      <c r="P450" s="2" t="n">
        <v>646.88</v>
      </c>
      <c r="Q450" s="2" t="n">
        <v>19.99</v>
      </c>
      <c r="R450" s="2" t="s">
        <v>162</v>
      </c>
      <c r="S450" s="2" t="s">
        <v>60</v>
      </c>
    </row>
    <row r="451" customFormat="false" ht="15" hidden="false" customHeight="false" outlineLevel="0" collapsed="false">
      <c r="A451" s="2" t="s">
        <v>2776</v>
      </c>
      <c r="B451" s="2" t="s">
        <v>1900</v>
      </c>
      <c r="C451" s="2" t="s">
        <v>2777</v>
      </c>
      <c r="D451" s="2" t="s">
        <v>2778</v>
      </c>
      <c r="E451" s="2" t="s">
        <v>2779</v>
      </c>
      <c r="F451" s="2" t="s">
        <v>24</v>
      </c>
      <c r="G451" s="2" t="s">
        <v>670</v>
      </c>
      <c r="H451" s="2" t="s">
        <v>169</v>
      </c>
      <c r="I451" s="2" t="s">
        <v>106</v>
      </c>
      <c r="J451" s="2" t="s">
        <v>188</v>
      </c>
      <c r="K451" s="2" t="s">
        <v>69</v>
      </c>
      <c r="L451" s="2" t="s">
        <v>107</v>
      </c>
      <c r="M451" s="2" t="s">
        <v>2780</v>
      </c>
      <c r="N451" s="2" t="n">
        <v>8</v>
      </c>
      <c r="O451" s="2" t="n">
        <v>0.5</v>
      </c>
      <c r="P451" s="2" t="n">
        <v>-178.61</v>
      </c>
      <c r="Q451" s="2" t="n">
        <v>31.89</v>
      </c>
      <c r="R451" s="2" t="s">
        <v>86</v>
      </c>
      <c r="S451" s="2" t="s">
        <v>110</v>
      </c>
    </row>
    <row r="452" customFormat="false" ht="15" hidden="false" customHeight="false" outlineLevel="0" collapsed="false">
      <c r="A452" s="2" t="s">
        <v>2781</v>
      </c>
      <c r="B452" s="2" t="s">
        <v>2782</v>
      </c>
      <c r="C452" s="2" t="s">
        <v>2783</v>
      </c>
      <c r="D452" s="2" t="s">
        <v>2784</v>
      </c>
      <c r="E452" s="2" t="s">
        <v>2785</v>
      </c>
      <c r="F452" s="2" t="s">
        <v>594</v>
      </c>
      <c r="G452" s="2" t="s">
        <v>80</v>
      </c>
      <c r="H452" s="2" t="s">
        <v>81</v>
      </c>
      <c r="I452" s="2" t="s">
        <v>42</v>
      </c>
      <c r="J452" s="2" t="s">
        <v>343</v>
      </c>
      <c r="K452" s="2" t="s">
        <v>29</v>
      </c>
      <c r="L452" s="2" t="s">
        <v>374</v>
      </c>
      <c r="M452" s="2" t="s">
        <v>2786</v>
      </c>
      <c r="N452" s="2" t="n">
        <v>7</v>
      </c>
      <c r="O452" s="2" t="n">
        <v>0</v>
      </c>
      <c r="P452" s="2" t="n">
        <v>1793.87</v>
      </c>
      <c r="Q452" s="2" t="n">
        <v>28.92</v>
      </c>
      <c r="R452" s="2" t="s">
        <v>32</v>
      </c>
      <c r="S452" s="2" t="s">
        <v>110</v>
      </c>
    </row>
    <row r="453" customFormat="false" ht="15" hidden="false" customHeight="false" outlineLevel="0" collapsed="false">
      <c r="A453" s="2" t="s">
        <v>2787</v>
      </c>
      <c r="B453" s="2" t="s">
        <v>2788</v>
      </c>
      <c r="C453" s="2" t="s">
        <v>642</v>
      </c>
      <c r="D453" s="2" t="s">
        <v>2789</v>
      </c>
      <c r="E453" s="2" t="s">
        <v>2790</v>
      </c>
      <c r="F453" s="2" t="s">
        <v>24</v>
      </c>
      <c r="G453" s="2"/>
      <c r="H453" s="2" t="s">
        <v>169</v>
      </c>
      <c r="I453" s="2" t="s">
        <v>106</v>
      </c>
      <c r="J453" s="2" t="s">
        <v>28</v>
      </c>
      <c r="K453" s="2" t="s">
        <v>118</v>
      </c>
      <c r="L453" s="2" t="s">
        <v>251</v>
      </c>
      <c r="M453" s="2" t="s">
        <v>2791</v>
      </c>
      <c r="N453" s="2" t="n">
        <v>10</v>
      </c>
      <c r="O453" s="2" t="n">
        <v>0.2</v>
      </c>
      <c r="P453" s="2" t="n">
        <v>-47.67</v>
      </c>
      <c r="Q453" s="2" t="n">
        <v>29.83</v>
      </c>
      <c r="R453" s="2" t="s">
        <v>47</v>
      </c>
      <c r="S453" s="2" t="s">
        <v>60</v>
      </c>
    </row>
    <row r="454" customFormat="false" ht="15" hidden="false" customHeight="false" outlineLevel="0" collapsed="false">
      <c r="A454" s="2" t="s">
        <v>2792</v>
      </c>
      <c r="B454" s="2" t="s">
        <v>2793</v>
      </c>
      <c r="C454" s="2" t="s">
        <v>2471</v>
      </c>
      <c r="D454" s="2" t="s">
        <v>2794</v>
      </c>
      <c r="E454" s="2" t="s">
        <v>2795</v>
      </c>
      <c r="F454" s="2" t="s">
        <v>66</v>
      </c>
      <c r="G454" s="2" t="s">
        <v>104</v>
      </c>
      <c r="H454" s="2" t="s">
        <v>105</v>
      </c>
      <c r="I454" s="2" t="s">
        <v>106</v>
      </c>
      <c r="J454" s="2" t="s">
        <v>93</v>
      </c>
      <c r="K454" s="2" t="s">
        <v>141</v>
      </c>
      <c r="L454" s="2" t="s">
        <v>269</v>
      </c>
      <c r="M454" s="2" t="s">
        <v>2796</v>
      </c>
      <c r="N454" s="2" t="n">
        <v>4</v>
      </c>
      <c r="O454" s="2" t="n">
        <v>0</v>
      </c>
      <c r="P454" s="2" t="n">
        <v>51.24</v>
      </c>
      <c r="Q454" s="2" t="n">
        <v>36.09</v>
      </c>
      <c r="R454" s="2" t="s">
        <v>59</v>
      </c>
      <c r="S454" s="2" t="s">
        <v>110</v>
      </c>
    </row>
    <row r="455" customFormat="false" ht="15" hidden="false" customHeight="false" outlineLevel="0" collapsed="false">
      <c r="A455" s="2" t="s">
        <v>2797</v>
      </c>
      <c r="B455" s="2" t="s">
        <v>2798</v>
      </c>
      <c r="C455" s="2" t="s">
        <v>2799</v>
      </c>
      <c r="D455" s="2" t="s">
        <v>2800</v>
      </c>
      <c r="E455" s="2" t="s">
        <v>2801</v>
      </c>
      <c r="F455" s="2" t="s">
        <v>196</v>
      </c>
      <c r="G455" s="2" t="s">
        <v>1599</v>
      </c>
      <c r="H455" s="2" t="s">
        <v>612</v>
      </c>
      <c r="I455" s="2" t="s">
        <v>106</v>
      </c>
      <c r="J455" s="2" t="s">
        <v>55</v>
      </c>
      <c r="K455" s="2" t="s">
        <v>277</v>
      </c>
      <c r="L455" s="2" t="s">
        <v>397</v>
      </c>
      <c r="M455" s="2" t="s">
        <v>2802</v>
      </c>
      <c r="N455" s="2" t="n">
        <v>3</v>
      </c>
      <c r="O455" s="2" t="n">
        <v>0</v>
      </c>
      <c r="P455" s="2" t="n">
        <v>498.55</v>
      </c>
      <c r="Q455" s="2" t="n">
        <v>33.21</v>
      </c>
      <c r="R455" s="2" t="s">
        <v>181</v>
      </c>
      <c r="S455" s="2"/>
    </row>
    <row r="456" customFormat="false" ht="15" hidden="false" customHeight="false" outlineLevel="0" collapsed="false">
      <c r="A456" s="2" t="s">
        <v>2803</v>
      </c>
      <c r="B456" s="2" t="s">
        <v>2804</v>
      </c>
      <c r="C456" s="2" t="s">
        <v>2202</v>
      </c>
      <c r="D456" s="2" t="s">
        <v>2805</v>
      </c>
      <c r="E456" s="2" t="s">
        <v>2806</v>
      </c>
      <c r="F456" s="2" t="s">
        <v>39</v>
      </c>
      <c r="G456" s="2" t="s">
        <v>908</v>
      </c>
      <c r="H456" s="2" t="s">
        <v>53</v>
      </c>
      <c r="I456" s="2" t="s">
        <v>54</v>
      </c>
      <c r="J456" s="2" t="s">
        <v>129</v>
      </c>
      <c r="K456" s="2" t="s">
        <v>170</v>
      </c>
      <c r="L456" s="2" t="s">
        <v>171</v>
      </c>
      <c r="M456" s="2" t="s">
        <v>2807</v>
      </c>
      <c r="N456" s="2" t="n">
        <v>6</v>
      </c>
      <c r="O456" s="2" t="n">
        <v>0.1</v>
      </c>
      <c r="P456" s="2" t="n">
        <v>31.58</v>
      </c>
      <c r="Q456" s="2" t="n">
        <v>46.49</v>
      </c>
      <c r="R456" s="2" t="s">
        <v>440</v>
      </c>
      <c r="S456" s="2" t="s">
        <v>110</v>
      </c>
    </row>
    <row r="457" customFormat="false" ht="15" hidden="false" customHeight="false" outlineLevel="0" collapsed="false">
      <c r="A457" s="2" t="s">
        <v>2808</v>
      </c>
      <c r="B457" s="2" t="s">
        <v>2809</v>
      </c>
      <c r="C457" s="2" t="s">
        <v>2810</v>
      </c>
      <c r="D457" s="2" t="s">
        <v>2811</v>
      </c>
      <c r="E457" s="2" t="s">
        <v>2812</v>
      </c>
      <c r="F457" s="2" t="s">
        <v>66</v>
      </c>
      <c r="G457" s="2" t="s">
        <v>104</v>
      </c>
      <c r="H457" s="2" t="s">
        <v>105</v>
      </c>
      <c r="I457" s="2" t="s">
        <v>106</v>
      </c>
      <c r="J457" s="2" t="s">
        <v>55</v>
      </c>
      <c r="K457" s="2" t="s">
        <v>56</v>
      </c>
      <c r="L457" s="2" t="s">
        <v>536</v>
      </c>
      <c r="M457" s="2" t="s">
        <v>2813</v>
      </c>
      <c r="N457" s="2" t="n">
        <v>7</v>
      </c>
      <c r="O457" s="2" t="n">
        <v>0.1</v>
      </c>
      <c r="P457" s="2" t="n">
        <v>123.34</v>
      </c>
      <c r="Q457" s="2" t="n">
        <v>31.28</v>
      </c>
      <c r="R457" s="2" t="s">
        <v>72</v>
      </c>
      <c r="S457" s="2" t="s">
        <v>73</v>
      </c>
    </row>
    <row r="458" customFormat="false" ht="15" hidden="false" customHeight="false" outlineLevel="0" collapsed="false">
      <c r="A458" s="2" t="s">
        <v>2814</v>
      </c>
      <c r="B458" s="2" t="s">
        <v>2815</v>
      </c>
      <c r="C458" s="2" t="s">
        <v>2816</v>
      </c>
      <c r="D458" s="2" t="s">
        <v>2817</v>
      </c>
      <c r="E458" s="2" t="s">
        <v>2818</v>
      </c>
      <c r="F458" s="2" t="s">
        <v>179</v>
      </c>
      <c r="G458" s="2" t="s">
        <v>2819</v>
      </c>
      <c r="H458" s="2" t="s">
        <v>26</v>
      </c>
      <c r="I458" s="2" t="s">
        <v>27</v>
      </c>
      <c r="J458" s="2" t="s">
        <v>43</v>
      </c>
      <c r="K458" s="2" t="s">
        <v>277</v>
      </c>
      <c r="L458" s="2" t="s">
        <v>278</v>
      </c>
      <c r="M458" s="2" t="s">
        <v>2820</v>
      </c>
      <c r="N458" s="2" t="n">
        <v>12</v>
      </c>
      <c r="O458" s="2" t="n">
        <v>0.1</v>
      </c>
      <c r="P458" s="2" t="n">
        <v>1067.01</v>
      </c>
      <c r="Q458" s="2" t="n">
        <v>58.24</v>
      </c>
      <c r="R458" s="2" t="s">
        <v>86</v>
      </c>
      <c r="S458" s="2" t="s">
        <v>73</v>
      </c>
    </row>
    <row r="459" customFormat="false" ht="15" hidden="false" customHeight="false" outlineLevel="0" collapsed="false">
      <c r="A459" s="2" t="s">
        <v>2821</v>
      </c>
      <c r="B459" s="2" t="s">
        <v>1596</v>
      </c>
      <c r="C459" s="2" t="s">
        <v>2822</v>
      </c>
      <c r="D459" s="2" t="s">
        <v>2823</v>
      </c>
      <c r="E459" s="2" t="s">
        <v>2824</v>
      </c>
      <c r="F459" s="2" t="s">
        <v>66</v>
      </c>
      <c r="G459" s="2" t="s">
        <v>652</v>
      </c>
      <c r="H459" s="2" t="s">
        <v>160</v>
      </c>
      <c r="I459" s="2" t="s">
        <v>27</v>
      </c>
      <c r="J459" s="2" t="s">
        <v>55</v>
      </c>
      <c r="K459" s="2" t="s">
        <v>69</v>
      </c>
      <c r="L459" s="2" t="s">
        <v>70</v>
      </c>
      <c r="M459" s="2" t="s">
        <v>2825</v>
      </c>
      <c r="N459" s="2" t="n">
        <v>7</v>
      </c>
      <c r="O459" s="2" t="n">
        <v>0.3</v>
      </c>
      <c r="P459" s="2" t="n">
        <v>522.03</v>
      </c>
      <c r="Q459" s="2" t="n">
        <v>17.34</v>
      </c>
      <c r="R459" s="2" t="s">
        <v>133</v>
      </c>
      <c r="S459" s="2" t="s">
        <v>33</v>
      </c>
    </row>
    <row r="460" customFormat="false" ht="15" hidden="false" customHeight="false" outlineLevel="0" collapsed="false">
      <c r="A460" s="2" t="s">
        <v>2826</v>
      </c>
      <c r="B460" s="2" t="s">
        <v>2827</v>
      </c>
      <c r="C460" s="2" t="s">
        <v>2828</v>
      </c>
      <c r="D460" s="2" t="s">
        <v>2829</v>
      </c>
      <c r="E460" s="2" t="s">
        <v>2830</v>
      </c>
      <c r="F460" s="2" t="s">
        <v>79</v>
      </c>
      <c r="G460" s="2" t="s">
        <v>322</v>
      </c>
      <c r="H460" s="2" t="s">
        <v>117</v>
      </c>
      <c r="I460" s="2" t="s">
        <v>27</v>
      </c>
      <c r="J460" s="2" t="s">
        <v>55</v>
      </c>
      <c r="K460" s="2" t="s">
        <v>56</v>
      </c>
      <c r="L460" s="2" t="s">
        <v>307</v>
      </c>
      <c r="M460" s="2" t="s">
        <v>2831</v>
      </c>
      <c r="N460" s="2" t="n">
        <v>5</v>
      </c>
      <c r="O460" s="2" t="n">
        <v>0.5</v>
      </c>
      <c r="P460" s="2" t="n">
        <v>-85.23</v>
      </c>
      <c r="Q460" s="2" t="n">
        <v>50.72</v>
      </c>
      <c r="R460" s="2" t="s">
        <v>86</v>
      </c>
      <c r="S460" s="2" t="s">
        <v>73</v>
      </c>
    </row>
    <row r="461" customFormat="false" ht="15" hidden="false" customHeight="false" outlineLevel="0" collapsed="false">
      <c r="A461" s="2" t="s">
        <v>2832</v>
      </c>
      <c r="B461" s="2" t="s">
        <v>2833</v>
      </c>
      <c r="C461" s="2" t="s">
        <v>2834</v>
      </c>
      <c r="D461" s="2" t="s">
        <v>2835</v>
      </c>
      <c r="E461" s="2" t="s">
        <v>2836</v>
      </c>
      <c r="F461" s="2" t="s">
        <v>1412</v>
      </c>
      <c r="G461" s="2" t="s">
        <v>168</v>
      </c>
      <c r="H461" s="2" t="s">
        <v>169</v>
      </c>
      <c r="I461" s="2" t="s">
        <v>106</v>
      </c>
      <c r="J461" s="2" t="s">
        <v>82</v>
      </c>
      <c r="K461" s="2" t="s">
        <v>118</v>
      </c>
      <c r="L461" s="2" t="s">
        <v>119</v>
      </c>
      <c r="M461" s="2" t="s">
        <v>2837</v>
      </c>
      <c r="N461" s="2" t="n">
        <v>10</v>
      </c>
      <c r="O461" s="2" t="n">
        <v>0.1</v>
      </c>
      <c r="P461" s="2" t="n">
        <v>1358.92</v>
      </c>
      <c r="Q461" s="2" t="n">
        <v>37.88</v>
      </c>
      <c r="R461" s="2" t="s">
        <v>202</v>
      </c>
      <c r="S461" s="2" t="s">
        <v>60</v>
      </c>
    </row>
    <row r="462" customFormat="false" ht="15" hidden="false" customHeight="false" outlineLevel="0" collapsed="false">
      <c r="A462" s="2" t="s">
        <v>2838</v>
      </c>
      <c r="B462" s="2" t="s">
        <v>2839</v>
      </c>
      <c r="C462" s="2" t="s">
        <v>2840</v>
      </c>
      <c r="D462" s="2" t="s">
        <v>1446</v>
      </c>
      <c r="E462" s="2" t="s">
        <v>1447</v>
      </c>
      <c r="F462" s="2" t="s">
        <v>66</v>
      </c>
      <c r="G462" s="2" t="s">
        <v>330</v>
      </c>
      <c r="H462" s="2" t="s">
        <v>243</v>
      </c>
      <c r="I462" s="2" t="s">
        <v>54</v>
      </c>
      <c r="J462" s="2" t="s">
        <v>82</v>
      </c>
      <c r="K462" s="2" t="s">
        <v>83</v>
      </c>
      <c r="L462" s="2" t="s">
        <v>431</v>
      </c>
      <c r="M462" s="2" t="s">
        <v>2841</v>
      </c>
      <c r="N462" s="2" t="n">
        <v>6</v>
      </c>
      <c r="O462" s="2" t="n">
        <v>0.3</v>
      </c>
      <c r="P462" s="2" t="n">
        <v>-46.63</v>
      </c>
      <c r="Q462" s="2" t="n">
        <v>47.25</v>
      </c>
      <c r="R462" s="2" t="s">
        <v>190</v>
      </c>
      <c r="S462" s="2" t="s">
        <v>110</v>
      </c>
    </row>
    <row r="463" customFormat="false" ht="15" hidden="false" customHeight="false" outlineLevel="0" collapsed="false">
      <c r="A463" s="2" t="s">
        <v>2842</v>
      </c>
      <c r="B463" s="2" t="s">
        <v>2843</v>
      </c>
      <c r="C463" s="2" t="s">
        <v>2480</v>
      </c>
      <c r="D463" s="2" t="s">
        <v>2844</v>
      </c>
      <c r="E463" s="2" t="s">
        <v>2845</v>
      </c>
      <c r="F463" s="2" t="s">
        <v>196</v>
      </c>
      <c r="G463" s="2" t="s">
        <v>1506</v>
      </c>
      <c r="H463" s="2" t="s">
        <v>315</v>
      </c>
      <c r="I463" s="2" t="s">
        <v>54</v>
      </c>
      <c r="J463" s="2" t="s">
        <v>55</v>
      </c>
      <c r="K463" s="2" t="s">
        <v>69</v>
      </c>
      <c r="L463" s="2" t="s">
        <v>417</v>
      </c>
      <c r="M463" s="2" t="s">
        <v>2846</v>
      </c>
      <c r="N463" s="2" t="n">
        <v>1</v>
      </c>
      <c r="O463" s="2" t="n">
        <v>0.4</v>
      </c>
      <c r="P463" s="2" t="n">
        <v>-45.84</v>
      </c>
      <c r="Q463" s="2" t="n">
        <v>28.27</v>
      </c>
      <c r="R463" s="2" t="s">
        <v>162</v>
      </c>
      <c r="S463" s="2" t="s">
        <v>110</v>
      </c>
    </row>
    <row r="464" customFormat="false" ht="15" hidden="false" customHeight="false" outlineLevel="0" collapsed="false">
      <c r="A464" s="2" t="s">
        <v>2847</v>
      </c>
      <c r="B464" s="2" t="s">
        <v>2848</v>
      </c>
      <c r="C464" s="2" t="s">
        <v>1225</v>
      </c>
      <c r="D464" s="2" t="s">
        <v>2849</v>
      </c>
      <c r="E464" s="2" t="s">
        <v>2850</v>
      </c>
      <c r="F464" s="2" t="s">
        <v>24</v>
      </c>
      <c r="G464" s="2" t="s">
        <v>1872</v>
      </c>
      <c r="H464" s="2" t="s">
        <v>365</v>
      </c>
      <c r="I464" s="2" t="s">
        <v>106</v>
      </c>
      <c r="J464" s="2" t="s">
        <v>82</v>
      </c>
      <c r="K464" s="2" t="s">
        <v>234</v>
      </c>
      <c r="L464" s="2" t="s">
        <v>495</v>
      </c>
      <c r="M464" s="2" t="s">
        <v>2851</v>
      </c>
      <c r="N464" s="2" t="n">
        <v>5</v>
      </c>
      <c r="O464" s="2" t="n">
        <v>0.2</v>
      </c>
      <c r="P464" s="2" t="n">
        <v>244.15</v>
      </c>
      <c r="Q464" s="2" t="n">
        <v>33.58</v>
      </c>
      <c r="R464" s="2" t="s">
        <v>86</v>
      </c>
      <c r="S464" s="2" t="s">
        <v>73</v>
      </c>
    </row>
    <row r="465" customFormat="false" ht="15" hidden="false" customHeight="false" outlineLevel="0" collapsed="false">
      <c r="A465" s="2" t="s">
        <v>2852</v>
      </c>
      <c r="B465" s="2" t="s">
        <v>1585</v>
      </c>
      <c r="C465" s="2" t="s">
        <v>547</v>
      </c>
      <c r="D465" s="2" t="s">
        <v>2853</v>
      </c>
      <c r="E465" s="2" t="s">
        <v>2854</v>
      </c>
      <c r="F465" s="2" t="s">
        <v>66</v>
      </c>
      <c r="G465" s="2" t="s">
        <v>52</v>
      </c>
      <c r="H465" s="2" t="s">
        <v>53</v>
      </c>
      <c r="I465" s="2" t="s">
        <v>54</v>
      </c>
      <c r="J465" s="2" t="s">
        <v>82</v>
      </c>
      <c r="K465" s="2" t="s">
        <v>234</v>
      </c>
      <c r="L465" s="2" t="s">
        <v>344</v>
      </c>
      <c r="M465" s="2" t="s">
        <v>2855</v>
      </c>
      <c r="N465" s="2" t="n">
        <v>11</v>
      </c>
      <c r="O465" s="2" t="n">
        <v>0.4</v>
      </c>
      <c r="P465" s="2" t="n">
        <v>21.21</v>
      </c>
      <c r="Q465" s="2" t="n">
        <v>55.39</v>
      </c>
      <c r="R465" s="2" t="s">
        <v>59</v>
      </c>
      <c r="S465" s="2" t="s">
        <v>110</v>
      </c>
    </row>
    <row r="466" customFormat="false" ht="15" hidden="false" customHeight="false" outlineLevel="0" collapsed="false">
      <c r="A466" s="2" t="s">
        <v>2856</v>
      </c>
      <c r="B466" s="2" t="s">
        <v>1212</v>
      </c>
      <c r="C466" s="2" t="s">
        <v>2857</v>
      </c>
      <c r="D466" s="2" t="s">
        <v>2858</v>
      </c>
      <c r="E466" s="2" t="s">
        <v>2859</v>
      </c>
      <c r="F466" s="2" t="s">
        <v>103</v>
      </c>
      <c r="G466" s="2" t="s">
        <v>1885</v>
      </c>
      <c r="H466" s="2" t="s">
        <v>365</v>
      </c>
      <c r="I466" s="2" t="s">
        <v>106</v>
      </c>
      <c r="J466" s="2" t="s">
        <v>55</v>
      </c>
      <c r="K466" s="2" t="s">
        <v>44</v>
      </c>
      <c r="L466" s="2" t="s">
        <v>351</v>
      </c>
      <c r="M466" s="2" t="s">
        <v>2860</v>
      </c>
      <c r="N466" s="2" t="n">
        <v>1</v>
      </c>
      <c r="O466" s="2" t="n">
        <v>0.15</v>
      </c>
      <c r="P466" s="2" t="n">
        <v>32.78</v>
      </c>
      <c r="Q466" s="2" t="n">
        <v>25.85</v>
      </c>
      <c r="R466" s="2" t="s">
        <v>133</v>
      </c>
      <c r="S466" s="2" t="s">
        <v>60</v>
      </c>
    </row>
    <row r="467" customFormat="false" ht="15" hidden="false" customHeight="false" outlineLevel="0" collapsed="false">
      <c r="A467" s="2" t="s">
        <v>2861</v>
      </c>
      <c r="B467" s="2" t="s">
        <v>2862</v>
      </c>
      <c r="C467" s="2" t="s">
        <v>2863</v>
      </c>
      <c r="D467" s="2" t="s">
        <v>2219</v>
      </c>
      <c r="E467" s="2" t="s">
        <v>2220</v>
      </c>
      <c r="F467" s="2" t="s">
        <v>79</v>
      </c>
      <c r="G467" s="2" t="s">
        <v>464</v>
      </c>
      <c r="H467" s="2" t="s">
        <v>299</v>
      </c>
      <c r="I467" s="2" t="s">
        <v>42</v>
      </c>
      <c r="J467" s="2" t="s">
        <v>82</v>
      </c>
      <c r="K467" s="2" t="s">
        <v>118</v>
      </c>
      <c r="L467" s="2" t="s">
        <v>251</v>
      </c>
      <c r="M467" s="2" t="s">
        <v>2864</v>
      </c>
      <c r="N467" s="2" t="n">
        <v>6</v>
      </c>
      <c r="O467" s="2" t="n">
        <v>0.1</v>
      </c>
      <c r="P467" s="2" t="n">
        <v>733.09</v>
      </c>
      <c r="Q467" s="2" t="n">
        <v>47.65</v>
      </c>
      <c r="R467" s="2" t="s">
        <v>133</v>
      </c>
      <c r="S467" s="2" t="s">
        <v>73</v>
      </c>
    </row>
    <row r="468" customFormat="false" ht="15" hidden="false" customHeight="false" outlineLevel="0" collapsed="false">
      <c r="A468" s="2" t="s">
        <v>2865</v>
      </c>
      <c r="B468" s="2" t="s">
        <v>2866</v>
      </c>
      <c r="C468" s="2" t="s">
        <v>2867</v>
      </c>
      <c r="D468" s="2" t="s">
        <v>2868</v>
      </c>
      <c r="E468" s="2" t="s">
        <v>2869</v>
      </c>
      <c r="F468" s="2" t="s">
        <v>39</v>
      </c>
      <c r="G468" s="2" t="s">
        <v>25</v>
      </c>
      <c r="H468" s="2" t="s">
        <v>26</v>
      </c>
      <c r="I468" s="2" t="s">
        <v>27</v>
      </c>
      <c r="J468" s="2" t="s">
        <v>55</v>
      </c>
      <c r="K468" s="2" t="s">
        <v>69</v>
      </c>
      <c r="L468" s="2" t="s">
        <v>107</v>
      </c>
      <c r="M468" s="2" t="s">
        <v>2870</v>
      </c>
      <c r="N468" s="2" t="n">
        <v>12</v>
      </c>
      <c r="O468" s="2" t="n">
        <v>0.2</v>
      </c>
      <c r="P468" s="2" t="n">
        <v>-60.87</v>
      </c>
      <c r="Q468" s="2"/>
      <c r="R468" s="2" t="s">
        <v>181</v>
      </c>
      <c r="S468" s="2" t="s">
        <v>73</v>
      </c>
    </row>
    <row r="469" customFormat="false" ht="15" hidden="false" customHeight="false" outlineLevel="0" collapsed="false">
      <c r="A469" s="2" t="s">
        <v>2871</v>
      </c>
      <c r="B469" s="2" t="s">
        <v>2872</v>
      </c>
      <c r="C469" s="2" t="s">
        <v>2873</v>
      </c>
      <c r="D469" s="2" t="s">
        <v>2874</v>
      </c>
      <c r="E469" s="2" t="s">
        <v>2875</v>
      </c>
      <c r="F469" s="2" t="s">
        <v>24</v>
      </c>
      <c r="G469" s="2" t="s">
        <v>1688</v>
      </c>
      <c r="H469" s="2" t="s">
        <v>315</v>
      </c>
      <c r="I469" s="2" t="s">
        <v>54</v>
      </c>
      <c r="J469" s="2" t="s">
        <v>188</v>
      </c>
      <c r="K469" s="2" t="s">
        <v>69</v>
      </c>
      <c r="L469" s="2" t="s">
        <v>417</v>
      </c>
      <c r="M469" s="2" t="s">
        <v>2876</v>
      </c>
      <c r="N469" s="2" t="n">
        <v>1</v>
      </c>
      <c r="O469" s="2" t="n">
        <v>0.4</v>
      </c>
      <c r="P469" s="2" t="n">
        <v>-15.16</v>
      </c>
      <c r="Q469" s="2" t="n">
        <v>41.44</v>
      </c>
      <c r="R469" s="2" t="s">
        <v>47</v>
      </c>
      <c r="S469" s="2" t="s">
        <v>73</v>
      </c>
    </row>
    <row r="470" customFormat="false" ht="15" hidden="false" customHeight="false" outlineLevel="0" collapsed="false">
      <c r="A470" s="2" t="s">
        <v>2877</v>
      </c>
      <c r="B470" s="2" t="s">
        <v>2878</v>
      </c>
      <c r="C470" s="2" t="s">
        <v>2879</v>
      </c>
      <c r="D470" s="2" t="s">
        <v>2880</v>
      </c>
      <c r="E470" s="2" t="s">
        <v>2881</v>
      </c>
      <c r="F470" s="2" t="s">
        <v>179</v>
      </c>
      <c r="G470" s="2" t="s">
        <v>521</v>
      </c>
      <c r="H470" s="2" t="s">
        <v>373</v>
      </c>
      <c r="I470" s="2" t="s">
        <v>27</v>
      </c>
      <c r="J470" s="2" t="s">
        <v>343</v>
      </c>
      <c r="K470" s="2" t="s">
        <v>234</v>
      </c>
      <c r="L470" s="2" t="s">
        <v>235</v>
      </c>
      <c r="M470" s="2" t="s">
        <v>2882</v>
      </c>
      <c r="N470" s="2" t="n">
        <v>11</v>
      </c>
      <c r="O470" s="2" t="n">
        <v>0.3</v>
      </c>
      <c r="P470" s="2" t="n">
        <v>-166.93</v>
      </c>
      <c r="Q470" s="2" t="n">
        <v>56.14</v>
      </c>
      <c r="R470" s="2" t="s">
        <v>47</v>
      </c>
      <c r="S470" s="2" t="s">
        <v>60</v>
      </c>
    </row>
    <row r="471" customFormat="false" ht="15" hidden="false" customHeight="false" outlineLevel="0" collapsed="false">
      <c r="A471" s="2" t="s">
        <v>2883</v>
      </c>
      <c r="B471" s="2" t="s">
        <v>334</v>
      </c>
      <c r="C471" s="2" t="s">
        <v>2884</v>
      </c>
      <c r="D471" s="2" t="s">
        <v>1535</v>
      </c>
      <c r="E471" s="2" t="s">
        <v>1536</v>
      </c>
      <c r="F471" s="2" t="s">
        <v>79</v>
      </c>
      <c r="G471" s="2" t="s">
        <v>2885</v>
      </c>
      <c r="H471" s="2" t="s">
        <v>26</v>
      </c>
      <c r="I471" s="2" t="s">
        <v>27</v>
      </c>
      <c r="J471" s="2" t="s">
        <v>82</v>
      </c>
      <c r="K471" s="2" t="s">
        <v>29</v>
      </c>
      <c r="L471" s="2" t="s">
        <v>374</v>
      </c>
      <c r="M471" s="2" t="s">
        <v>2886</v>
      </c>
      <c r="N471" s="2" t="n">
        <v>7</v>
      </c>
      <c r="O471" s="2" t="n">
        <v>0.15</v>
      </c>
      <c r="P471" s="2" t="n">
        <v>279.03</v>
      </c>
      <c r="Q471" s="2"/>
      <c r="R471" s="2" t="s">
        <v>324</v>
      </c>
      <c r="S471" s="2" t="s">
        <v>60</v>
      </c>
    </row>
    <row r="472" customFormat="false" ht="15" hidden="false" customHeight="false" outlineLevel="0" collapsed="false">
      <c r="A472" s="2" t="s">
        <v>2887</v>
      </c>
      <c r="B472" s="2" t="s">
        <v>2888</v>
      </c>
      <c r="C472" s="2" t="s">
        <v>2889</v>
      </c>
      <c r="D472" s="2" t="s">
        <v>1373</v>
      </c>
      <c r="E472" s="2" t="s">
        <v>1374</v>
      </c>
      <c r="F472" s="2" t="s">
        <v>39</v>
      </c>
      <c r="G472" s="2" t="s">
        <v>908</v>
      </c>
      <c r="H472" s="2" t="s">
        <v>53</v>
      </c>
      <c r="I472" s="2" t="s">
        <v>54</v>
      </c>
      <c r="J472" s="2" t="s">
        <v>28</v>
      </c>
      <c r="K472" s="2" t="s">
        <v>118</v>
      </c>
      <c r="L472" s="2" t="s">
        <v>260</v>
      </c>
      <c r="M472" s="2" t="s">
        <v>2890</v>
      </c>
      <c r="N472" s="2" t="n">
        <v>2</v>
      </c>
      <c r="O472" s="2" t="n">
        <v>0.4</v>
      </c>
      <c r="P472" s="2" t="n">
        <v>-152.86</v>
      </c>
      <c r="Q472" s="2" t="n">
        <v>7.04</v>
      </c>
      <c r="R472" s="2" t="s">
        <v>86</v>
      </c>
      <c r="S472" s="2" t="s">
        <v>110</v>
      </c>
    </row>
    <row r="473" customFormat="false" ht="15" hidden="false" customHeight="false" outlineLevel="0" collapsed="false">
      <c r="A473" s="2" t="s">
        <v>2891</v>
      </c>
      <c r="B473" s="2" t="s">
        <v>2892</v>
      </c>
      <c r="C473" s="2" t="s">
        <v>2893</v>
      </c>
      <c r="D473" s="2" t="s">
        <v>2894</v>
      </c>
      <c r="E473" s="2" t="s">
        <v>2895</v>
      </c>
      <c r="F473" s="2" t="s">
        <v>24</v>
      </c>
      <c r="G473" s="2" t="s">
        <v>1180</v>
      </c>
      <c r="H473" s="2" t="s">
        <v>480</v>
      </c>
      <c r="I473" s="2" t="s">
        <v>54</v>
      </c>
      <c r="J473" s="2" t="s">
        <v>55</v>
      </c>
      <c r="K473" s="2" t="s">
        <v>56</v>
      </c>
      <c r="L473" s="2" t="s">
        <v>57</v>
      </c>
      <c r="M473" s="2" t="s">
        <v>2896</v>
      </c>
      <c r="N473" s="2" t="n">
        <v>9</v>
      </c>
      <c r="O473" s="2" t="n">
        <v>0.2</v>
      </c>
      <c r="P473" s="2" t="n">
        <v>337.18</v>
      </c>
      <c r="Q473" s="2" t="n">
        <v>54.3</v>
      </c>
      <c r="R473" s="2" t="s">
        <v>133</v>
      </c>
      <c r="S473" s="2" t="s">
        <v>33</v>
      </c>
    </row>
    <row r="474" customFormat="false" ht="15" hidden="false" customHeight="false" outlineLevel="0" collapsed="false">
      <c r="A474" s="2" t="s">
        <v>2897</v>
      </c>
      <c r="B474" s="2" t="s">
        <v>2898</v>
      </c>
      <c r="C474" s="2" t="s">
        <v>2899</v>
      </c>
      <c r="D474" s="2" t="s">
        <v>2900</v>
      </c>
      <c r="E474" s="2" t="s">
        <v>2901</v>
      </c>
      <c r="F474" s="2" t="s">
        <v>24</v>
      </c>
      <c r="G474" s="2" t="s">
        <v>335</v>
      </c>
      <c r="H474" s="2" t="s">
        <v>140</v>
      </c>
      <c r="I474" s="2" t="s">
        <v>54</v>
      </c>
      <c r="J474" s="2" t="s">
        <v>82</v>
      </c>
      <c r="K474" s="2" t="s">
        <v>29</v>
      </c>
      <c r="L474" s="2" t="s">
        <v>30</v>
      </c>
      <c r="M474" s="2" t="s">
        <v>2902</v>
      </c>
      <c r="N474" s="2" t="n">
        <v>3</v>
      </c>
      <c r="O474" s="2" t="n">
        <v>0.15</v>
      </c>
      <c r="P474" s="2" t="n">
        <v>393.49</v>
      </c>
      <c r="Q474" s="2" t="n">
        <v>26.89</v>
      </c>
      <c r="R474" s="2" t="s">
        <v>440</v>
      </c>
      <c r="S474" s="2" t="s">
        <v>110</v>
      </c>
    </row>
    <row r="475" customFormat="false" ht="15" hidden="false" customHeight="false" outlineLevel="0" collapsed="false">
      <c r="A475" s="2" t="s">
        <v>2903</v>
      </c>
      <c r="B475" s="2" t="s">
        <v>855</v>
      </c>
      <c r="C475" s="2" t="s">
        <v>2904</v>
      </c>
      <c r="D475" s="2" t="s">
        <v>2905</v>
      </c>
      <c r="E475" s="2" t="s">
        <v>2906</v>
      </c>
      <c r="F475" s="2" t="s">
        <v>24</v>
      </c>
      <c r="G475" s="2" t="s">
        <v>1620</v>
      </c>
      <c r="H475" s="2" t="s">
        <v>373</v>
      </c>
      <c r="I475" s="2" t="s">
        <v>27</v>
      </c>
      <c r="J475" s="2" t="s">
        <v>55</v>
      </c>
      <c r="K475" s="2" t="s">
        <v>69</v>
      </c>
      <c r="L475" s="2" t="s">
        <v>107</v>
      </c>
      <c r="M475" s="2" t="s">
        <v>2907</v>
      </c>
      <c r="N475" s="2" t="n">
        <v>1</v>
      </c>
      <c r="O475" s="2" t="n">
        <v>0</v>
      </c>
      <c r="P475" s="2" t="n">
        <v>31.76</v>
      </c>
      <c r="Q475" s="2" t="n">
        <v>20.77</v>
      </c>
      <c r="R475" s="2" t="s">
        <v>190</v>
      </c>
      <c r="S475" s="2" t="s">
        <v>60</v>
      </c>
    </row>
    <row r="476" customFormat="false" ht="15" hidden="false" customHeight="false" outlineLevel="0" collapsed="false">
      <c r="A476" s="2" t="s">
        <v>2908</v>
      </c>
      <c r="B476" s="2" t="s">
        <v>2909</v>
      </c>
      <c r="C476" s="2" t="s">
        <v>2296</v>
      </c>
      <c r="D476" s="2" t="s">
        <v>2910</v>
      </c>
      <c r="E476" s="2" t="s">
        <v>1253</v>
      </c>
      <c r="F476" s="2" t="s">
        <v>149</v>
      </c>
      <c r="G476" s="2" t="s">
        <v>197</v>
      </c>
      <c r="H476" s="2" t="s">
        <v>198</v>
      </c>
      <c r="I476" s="2" t="s">
        <v>106</v>
      </c>
      <c r="J476" s="2" t="s">
        <v>93</v>
      </c>
      <c r="K476" s="2" t="s">
        <v>388</v>
      </c>
      <c r="L476" s="2" t="s">
        <v>1186</v>
      </c>
      <c r="M476" s="2" t="s">
        <v>2911</v>
      </c>
      <c r="N476" s="2" t="n">
        <v>7</v>
      </c>
      <c r="O476" s="2" t="n">
        <v>0</v>
      </c>
      <c r="P476" s="2" t="n">
        <v>105.34</v>
      </c>
      <c r="Q476" s="2" t="n">
        <v>20.28</v>
      </c>
      <c r="R476" s="2" t="s">
        <v>181</v>
      </c>
      <c r="S476" s="2" t="s">
        <v>73</v>
      </c>
    </row>
    <row r="477" customFormat="false" ht="15" hidden="false" customHeight="false" outlineLevel="0" collapsed="false">
      <c r="A477" s="2" t="s">
        <v>2912</v>
      </c>
      <c r="B477" s="2" t="s">
        <v>2913</v>
      </c>
      <c r="C477" s="2" t="s">
        <v>2914</v>
      </c>
      <c r="D477" s="2" t="s">
        <v>2915</v>
      </c>
      <c r="E477" s="2" t="s">
        <v>2916</v>
      </c>
      <c r="F477" s="2" t="s">
        <v>24</v>
      </c>
      <c r="G477" s="2" t="s">
        <v>80</v>
      </c>
      <c r="H477" s="2" t="s">
        <v>81</v>
      </c>
      <c r="I477" s="2" t="s">
        <v>42</v>
      </c>
      <c r="J477" s="2" t="s">
        <v>82</v>
      </c>
      <c r="K477" s="2" t="s">
        <v>83</v>
      </c>
      <c r="L477" s="2" t="s">
        <v>84</v>
      </c>
      <c r="M477" s="2" t="s">
        <v>2917</v>
      </c>
      <c r="N477" s="2" t="n">
        <v>7</v>
      </c>
      <c r="O477" s="2" t="n">
        <v>0.4</v>
      </c>
      <c r="P477" s="2" t="n">
        <v>-547.77</v>
      </c>
      <c r="Q477" s="2" t="n">
        <v>41.7</v>
      </c>
      <c r="R477" s="2" t="s">
        <v>72</v>
      </c>
      <c r="S477" s="2" t="s">
        <v>73</v>
      </c>
    </row>
    <row r="478" customFormat="false" ht="15" hidden="false" customHeight="false" outlineLevel="0" collapsed="false">
      <c r="A478" s="2" t="s">
        <v>2918</v>
      </c>
      <c r="B478" s="2" t="s">
        <v>2919</v>
      </c>
      <c r="C478" s="2" t="s">
        <v>2920</v>
      </c>
      <c r="D478" s="2" t="s">
        <v>811</v>
      </c>
      <c r="E478" s="2" t="s">
        <v>812</v>
      </c>
      <c r="F478" s="2" t="s">
        <v>179</v>
      </c>
      <c r="G478" s="2" t="s">
        <v>298</v>
      </c>
      <c r="H478" s="2" t="s">
        <v>299</v>
      </c>
      <c r="I478" s="2" t="s">
        <v>42</v>
      </c>
      <c r="J478" s="2" t="s">
        <v>343</v>
      </c>
      <c r="K478" s="2" t="s">
        <v>118</v>
      </c>
      <c r="L478" s="2" t="s">
        <v>119</v>
      </c>
      <c r="M478" s="2" t="s">
        <v>2921</v>
      </c>
      <c r="N478" s="2" t="n">
        <v>6</v>
      </c>
      <c r="O478" s="2" t="n">
        <v>0.3</v>
      </c>
      <c r="P478" s="2" t="n">
        <v>-254.9</v>
      </c>
      <c r="Q478" s="2" t="n">
        <v>53.82</v>
      </c>
      <c r="R478" s="2" t="s">
        <v>32</v>
      </c>
      <c r="S478" s="2" t="s">
        <v>33</v>
      </c>
    </row>
    <row r="479" customFormat="false" ht="15" hidden="false" customHeight="false" outlineLevel="0" collapsed="false">
      <c r="A479" s="2" t="s">
        <v>2922</v>
      </c>
      <c r="B479" s="2" t="s">
        <v>2923</v>
      </c>
      <c r="C479" s="2" t="s">
        <v>2924</v>
      </c>
      <c r="D479" s="2" t="s">
        <v>1087</v>
      </c>
      <c r="E479" s="2"/>
      <c r="F479" s="2" t="s">
        <v>66</v>
      </c>
      <c r="G479" s="2" t="s">
        <v>159</v>
      </c>
      <c r="H479" s="2" t="s">
        <v>160</v>
      </c>
      <c r="I479" s="2" t="s">
        <v>27</v>
      </c>
      <c r="J479" s="2" t="s">
        <v>343</v>
      </c>
      <c r="K479" s="2" t="s">
        <v>118</v>
      </c>
      <c r="L479" s="2" t="s">
        <v>260</v>
      </c>
      <c r="M479" s="2" t="s">
        <v>2925</v>
      </c>
      <c r="N479" s="2" t="n">
        <v>12</v>
      </c>
      <c r="O479" s="2" t="n">
        <v>0.1</v>
      </c>
      <c r="P479" s="2" t="n">
        <v>153.62</v>
      </c>
      <c r="Q479" s="2" t="n">
        <v>39.22</v>
      </c>
      <c r="R479" s="2" t="s">
        <v>109</v>
      </c>
      <c r="S479" s="2" t="s">
        <v>33</v>
      </c>
    </row>
    <row r="480" customFormat="false" ht="15" hidden="false" customHeight="false" outlineLevel="0" collapsed="false">
      <c r="A480" s="2" t="s">
        <v>2926</v>
      </c>
      <c r="B480" s="2" t="s">
        <v>2927</v>
      </c>
      <c r="C480" s="2" t="s">
        <v>630</v>
      </c>
      <c r="D480" s="2" t="s">
        <v>2928</v>
      </c>
      <c r="E480" s="2" t="s">
        <v>2929</v>
      </c>
      <c r="F480" s="2" t="s">
        <v>39</v>
      </c>
      <c r="G480" s="2" t="s">
        <v>2930</v>
      </c>
      <c r="H480" s="2" t="s">
        <v>117</v>
      </c>
      <c r="I480" s="2" t="s">
        <v>27</v>
      </c>
      <c r="J480" s="2" t="s">
        <v>55</v>
      </c>
      <c r="K480" s="2" t="s">
        <v>44</v>
      </c>
      <c r="L480" s="2" t="s">
        <v>45</v>
      </c>
      <c r="M480" s="2" t="s">
        <v>2931</v>
      </c>
      <c r="N480" s="2" t="n">
        <v>5</v>
      </c>
      <c r="O480" s="2" t="n">
        <v>0.15</v>
      </c>
      <c r="P480" s="2" t="n">
        <v>40.18</v>
      </c>
      <c r="Q480" s="2" t="n">
        <v>17.17</v>
      </c>
      <c r="R480" s="2" t="s">
        <v>133</v>
      </c>
      <c r="S480" s="2" t="s">
        <v>110</v>
      </c>
    </row>
    <row r="481" customFormat="false" ht="15" hidden="false" customHeight="false" outlineLevel="0" collapsed="false">
      <c r="A481" s="2" t="s">
        <v>2932</v>
      </c>
      <c r="B481" s="2" t="s">
        <v>2933</v>
      </c>
      <c r="C481" s="2" t="s">
        <v>2934</v>
      </c>
      <c r="D481" s="2" t="s">
        <v>2935</v>
      </c>
      <c r="E481" s="2" t="s">
        <v>2936</v>
      </c>
      <c r="F481" s="2" t="s">
        <v>39</v>
      </c>
      <c r="G481" s="2" t="s">
        <v>759</v>
      </c>
      <c r="H481" s="2" t="s">
        <v>160</v>
      </c>
      <c r="I481" s="2" t="s">
        <v>27</v>
      </c>
      <c r="J481" s="2" t="s">
        <v>43</v>
      </c>
      <c r="K481" s="2" t="s">
        <v>44</v>
      </c>
      <c r="L481" s="2" t="s">
        <v>45</v>
      </c>
      <c r="M481" s="2" t="s">
        <v>2937</v>
      </c>
      <c r="N481" s="2" t="n">
        <v>6</v>
      </c>
      <c r="O481" s="2" t="n">
        <v>0.1</v>
      </c>
      <c r="P481" s="2" t="n">
        <v>113.96</v>
      </c>
      <c r="Q481" s="2" t="n">
        <v>13.47</v>
      </c>
      <c r="R481" s="2" t="s">
        <v>72</v>
      </c>
      <c r="S481" s="2" t="s">
        <v>73</v>
      </c>
    </row>
    <row r="482" customFormat="false" ht="15" hidden="false" customHeight="false" outlineLevel="0" collapsed="false">
      <c r="A482" s="2" t="s">
        <v>2938</v>
      </c>
      <c r="B482" s="2" t="s">
        <v>770</v>
      </c>
      <c r="C482" s="2" t="s">
        <v>2939</v>
      </c>
      <c r="D482" s="2" t="s">
        <v>982</v>
      </c>
      <c r="E482" s="2"/>
      <c r="F482" s="2" t="s">
        <v>149</v>
      </c>
      <c r="G482" s="2" t="s">
        <v>276</v>
      </c>
      <c r="H482" s="2" t="s">
        <v>26</v>
      </c>
      <c r="I482" s="2" t="s">
        <v>27</v>
      </c>
      <c r="J482" s="2" t="s">
        <v>343</v>
      </c>
      <c r="K482" s="2" t="s">
        <v>29</v>
      </c>
      <c r="L482" s="2" t="s">
        <v>30</v>
      </c>
      <c r="M482" s="2" t="s">
        <v>2940</v>
      </c>
      <c r="N482" s="2" t="n">
        <v>1</v>
      </c>
      <c r="O482" s="2" t="n">
        <v>0.15</v>
      </c>
      <c r="P482" s="2" t="n">
        <v>4.47</v>
      </c>
      <c r="Q482" s="2" t="n">
        <v>48.79</v>
      </c>
      <c r="R482" s="2" t="s">
        <v>162</v>
      </c>
      <c r="S482" s="2" t="s">
        <v>110</v>
      </c>
    </row>
    <row r="483" customFormat="false" ht="15" hidden="false" customHeight="false" outlineLevel="0" collapsed="false">
      <c r="A483" s="2" t="s">
        <v>2941</v>
      </c>
      <c r="B483" s="2" t="s">
        <v>2942</v>
      </c>
      <c r="C483" s="2" t="s">
        <v>2943</v>
      </c>
      <c r="D483" s="2" t="s">
        <v>2944</v>
      </c>
      <c r="E483" s="2" t="s">
        <v>2945</v>
      </c>
      <c r="F483" s="2" t="s">
        <v>24</v>
      </c>
      <c r="G483" s="2" t="s">
        <v>652</v>
      </c>
      <c r="H483" s="2" t="s">
        <v>160</v>
      </c>
      <c r="I483" s="2" t="s">
        <v>27</v>
      </c>
      <c r="J483" s="2" t="s">
        <v>82</v>
      </c>
      <c r="K483" s="2" t="s">
        <v>83</v>
      </c>
      <c r="L483" s="2" t="s">
        <v>569</v>
      </c>
      <c r="M483" s="2" t="s">
        <v>2946</v>
      </c>
      <c r="N483" s="2" t="n">
        <v>9</v>
      </c>
      <c r="O483" s="2" t="n">
        <v>0.1</v>
      </c>
      <c r="P483" s="2" t="n">
        <v>669.49</v>
      </c>
      <c r="Q483" s="2" t="n">
        <v>34.28</v>
      </c>
      <c r="R483" s="2" t="s">
        <v>72</v>
      </c>
      <c r="S483" s="2" t="s">
        <v>33</v>
      </c>
    </row>
    <row r="484" customFormat="false" ht="15" hidden="false" customHeight="false" outlineLevel="0" collapsed="false">
      <c r="A484" s="2" t="s">
        <v>2947</v>
      </c>
      <c r="B484" s="2" t="s">
        <v>2948</v>
      </c>
      <c r="C484" s="2" t="s">
        <v>2949</v>
      </c>
      <c r="D484" s="2" t="s">
        <v>2502</v>
      </c>
      <c r="E484" s="2" t="s">
        <v>2503</v>
      </c>
      <c r="F484" s="2" t="s">
        <v>79</v>
      </c>
      <c r="G484" s="2" t="s">
        <v>620</v>
      </c>
      <c r="H484" s="2" t="s">
        <v>68</v>
      </c>
      <c r="I484" s="2" t="s">
        <v>42</v>
      </c>
      <c r="J484" s="2" t="s">
        <v>55</v>
      </c>
      <c r="K484" s="2" t="s">
        <v>44</v>
      </c>
      <c r="L484" s="2" t="s">
        <v>596</v>
      </c>
      <c r="M484" s="2" t="s">
        <v>2950</v>
      </c>
      <c r="N484" s="2" t="n">
        <v>10</v>
      </c>
      <c r="O484" s="2" t="n">
        <v>0.3</v>
      </c>
      <c r="P484" s="2" t="n">
        <v>62.88</v>
      </c>
      <c r="Q484" s="2" t="n">
        <v>40.61</v>
      </c>
      <c r="R484" s="2" t="s">
        <v>181</v>
      </c>
      <c r="S484" s="2" t="s">
        <v>73</v>
      </c>
    </row>
    <row r="485" customFormat="false" ht="15" hidden="false" customHeight="false" outlineLevel="0" collapsed="false">
      <c r="A485" s="2" t="s">
        <v>2951</v>
      </c>
      <c r="B485" s="2" t="s">
        <v>2952</v>
      </c>
      <c r="C485" s="2" t="s">
        <v>2953</v>
      </c>
      <c r="D485" s="2" t="s">
        <v>2954</v>
      </c>
      <c r="E485" s="2" t="s">
        <v>2955</v>
      </c>
      <c r="F485" s="2" t="s">
        <v>24</v>
      </c>
      <c r="G485" s="2" t="s">
        <v>276</v>
      </c>
      <c r="H485" s="2" t="s">
        <v>26</v>
      </c>
      <c r="I485" s="2" t="s">
        <v>27</v>
      </c>
      <c r="J485" s="2" t="s">
        <v>82</v>
      </c>
      <c r="K485" s="2" t="s">
        <v>29</v>
      </c>
      <c r="L485" s="2" t="s">
        <v>374</v>
      </c>
      <c r="M485" s="2" t="s">
        <v>2956</v>
      </c>
      <c r="N485" s="2" t="n">
        <v>2</v>
      </c>
      <c r="O485" s="2" t="n">
        <v>0.2</v>
      </c>
      <c r="P485" s="2" t="n">
        <v>155.65</v>
      </c>
      <c r="Q485" s="2" t="n">
        <v>41.18</v>
      </c>
      <c r="R485" s="2" t="s">
        <v>97</v>
      </c>
      <c r="S485" s="2" t="s">
        <v>33</v>
      </c>
    </row>
    <row r="486" customFormat="false" ht="15" hidden="false" customHeight="false" outlineLevel="0" collapsed="false">
      <c r="A486" s="2" t="s">
        <v>2957</v>
      </c>
      <c r="B486" s="2" t="s">
        <v>2958</v>
      </c>
      <c r="C486" s="2" t="s">
        <v>2959</v>
      </c>
      <c r="D486" s="2" t="s">
        <v>2960</v>
      </c>
      <c r="E486" s="2" t="s">
        <v>2961</v>
      </c>
      <c r="F486" s="2" t="s">
        <v>66</v>
      </c>
      <c r="G486" s="2" t="s">
        <v>2962</v>
      </c>
      <c r="H486" s="2" t="s">
        <v>365</v>
      </c>
      <c r="I486" s="2" t="s">
        <v>106</v>
      </c>
      <c r="J486" s="2" t="s">
        <v>55</v>
      </c>
      <c r="K486" s="2" t="s">
        <v>277</v>
      </c>
      <c r="L486" s="2" t="s">
        <v>278</v>
      </c>
      <c r="M486" s="2" t="s">
        <v>2963</v>
      </c>
      <c r="N486" s="2" t="n">
        <v>7</v>
      </c>
      <c r="O486" s="2" t="n">
        <v>0.15</v>
      </c>
      <c r="P486" s="2" t="n">
        <v>52.14</v>
      </c>
      <c r="Q486" s="2" t="n">
        <v>48.97</v>
      </c>
      <c r="R486" s="2" t="s">
        <v>86</v>
      </c>
      <c r="S486" s="2" t="s">
        <v>33</v>
      </c>
    </row>
    <row r="487" customFormat="false" ht="15" hidden="false" customHeight="false" outlineLevel="0" collapsed="false">
      <c r="A487" s="2" t="s">
        <v>2964</v>
      </c>
      <c r="B487" s="2" t="s">
        <v>2965</v>
      </c>
      <c r="C487" s="2" t="s">
        <v>2966</v>
      </c>
      <c r="D487" s="2" t="s">
        <v>2967</v>
      </c>
      <c r="E487" s="2" t="s">
        <v>2968</v>
      </c>
      <c r="F487" s="2" t="s">
        <v>103</v>
      </c>
      <c r="G487" s="2" t="s">
        <v>494</v>
      </c>
      <c r="H487" s="2" t="s">
        <v>117</v>
      </c>
      <c r="I487" s="2" t="s">
        <v>27</v>
      </c>
      <c r="J487" s="2" t="s">
        <v>129</v>
      </c>
      <c r="K487" s="2" t="s">
        <v>94</v>
      </c>
      <c r="L487" s="2" t="s">
        <v>95</v>
      </c>
      <c r="M487" s="2" t="s">
        <v>2969</v>
      </c>
      <c r="N487" s="2" t="n">
        <v>10</v>
      </c>
      <c r="O487" s="2" t="n">
        <v>0.3</v>
      </c>
      <c r="P487" s="2" t="n">
        <v>21.47</v>
      </c>
      <c r="Q487" s="2" t="n">
        <v>53.54</v>
      </c>
      <c r="R487" s="2" t="s">
        <v>133</v>
      </c>
      <c r="S487" s="2" t="s">
        <v>33</v>
      </c>
    </row>
    <row r="488" customFormat="false" ht="15" hidden="false" customHeight="false" outlineLevel="0" collapsed="false">
      <c r="A488" s="2" t="s">
        <v>2970</v>
      </c>
      <c r="B488" s="2" t="s">
        <v>2971</v>
      </c>
      <c r="C488" s="2" t="s">
        <v>2972</v>
      </c>
      <c r="D488" s="2" t="s">
        <v>2973</v>
      </c>
      <c r="E488" s="2" t="s">
        <v>2974</v>
      </c>
      <c r="F488" s="2" t="s">
        <v>594</v>
      </c>
      <c r="G488" s="2" t="s">
        <v>298</v>
      </c>
      <c r="H488" s="2" t="s">
        <v>299</v>
      </c>
      <c r="I488" s="2" t="s">
        <v>42</v>
      </c>
      <c r="J488" s="2" t="s">
        <v>244</v>
      </c>
      <c r="K488" s="2" t="s">
        <v>56</v>
      </c>
      <c r="L488" s="2" t="s">
        <v>536</v>
      </c>
      <c r="M488" s="2" t="s">
        <v>2975</v>
      </c>
      <c r="N488" s="2" t="n">
        <v>2</v>
      </c>
      <c r="O488" s="2" t="n">
        <v>0</v>
      </c>
      <c r="P488" s="2" t="n">
        <v>43.74</v>
      </c>
      <c r="Q488" s="2" t="n">
        <v>50.71</v>
      </c>
      <c r="R488" s="2" t="s">
        <v>162</v>
      </c>
      <c r="S488" s="2" t="s">
        <v>73</v>
      </c>
    </row>
    <row r="489" customFormat="false" ht="15" hidden="false" customHeight="false" outlineLevel="0" collapsed="false">
      <c r="A489" s="2" t="s">
        <v>2976</v>
      </c>
      <c r="B489" s="2" t="s">
        <v>2977</v>
      </c>
      <c r="C489" s="2" t="s">
        <v>2978</v>
      </c>
      <c r="D489" s="2" t="s">
        <v>2527</v>
      </c>
      <c r="E489" s="2" t="s">
        <v>2528</v>
      </c>
      <c r="F489" s="2" t="s">
        <v>594</v>
      </c>
      <c r="G489" s="2" t="s">
        <v>683</v>
      </c>
      <c r="H489" s="2" t="s">
        <v>612</v>
      </c>
      <c r="I489" s="2" t="s">
        <v>106</v>
      </c>
      <c r="J489" s="2" t="s">
        <v>43</v>
      </c>
      <c r="K489" s="2" t="s">
        <v>277</v>
      </c>
      <c r="L489" s="2" t="s">
        <v>613</v>
      </c>
      <c r="M489" s="2" t="s">
        <v>2979</v>
      </c>
      <c r="N489" s="2" t="n">
        <v>11</v>
      </c>
      <c r="O489" s="2" t="n">
        <v>0.15</v>
      </c>
      <c r="P489" s="2" t="n">
        <v>331.35</v>
      </c>
      <c r="Q489" s="2" t="n">
        <v>53.81</v>
      </c>
      <c r="R489" s="2" t="s">
        <v>32</v>
      </c>
      <c r="S489" s="2" t="s">
        <v>33</v>
      </c>
    </row>
    <row r="490" customFormat="false" ht="15" hidden="false" customHeight="false" outlineLevel="0" collapsed="false">
      <c r="A490" s="2" t="s">
        <v>2980</v>
      </c>
      <c r="B490" s="2" t="s">
        <v>1470</v>
      </c>
      <c r="C490" s="2" t="s">
        <v>2633</v>
      </c>
      <c r="D490" s="2" t="s">
        <v>2981</v>
      </c>
      <c r="E490" s="2" t="s">
        <v>2982</v>
      </c>
      <c r="F490" s="2" t="s">
        <v>39</v>
      </c>
      <c r="G490" s="2" t="s">
        <v>372</v>
      </c>
      <c r="H490" s="2" t="s">
        <v>373</v>
      </c>
      <c r="I490" s="2" t="s">
        <v>27</v>
      </c>
      <c r="J490" s="2" t="s">
        <v>244</v>
      </c>
      <c r="K490" s="2" t="s">
        <v>44</v>
      </c>
      <c r="L490" s="2" t="s">
        <v>596</v>
      </c>
      <c r="M490" s="2" t="s">
        <v>2983</v>
      </c>
      <c r="N490" s="2" t="n">
        <v>3</v>
      </c>
      <c r="O490" s="2" t="n">
        <v>0.4</v>
      </c>
      <c r="P490" s="2" t="n">
        <v>-49.63</v>
      </c>
      <c r="Q490" s="2" t="n">
        <v>49.72</v>
      </c>
      <c r="R490" s="2" t="s">
        <v>162</v>
      </c>
      <c r="S490" s="2" t="s">
        <v>110</v>
      </c>
    </row>
    <row r="491" customFormat="false" ht="15" hidden="false" customHeight="false" outlineLevel="0" collapsed="false">
      <c r="A491" s="2" t="s">
        <v>2984</v>
      </c>
      <c r="B491" s="2" t="s">
        <v>2985</v>
      </c>
      <c r="C491" s="2" t="s">
        <v>2986</v>
      </c>
      <c r="D491" s="2" t="s">
        <v>2987</v>
      </c>
      <c r="E491" s="2" t="s">
        <v>2988</v>
      </c>
      <c r="F491" s="2" t="s">
        <v>39</v>
      </c>
      <c r="G491" s="2" t="s">
        <v>2989</v>
      </c>
      <c r="H491" s="2" t="s">
        <v>225</v>
      </c>
      <c r="I491" s="2" t="s">
        <v>42</v>
      </c>
      <c r="J491" s="2" t="s">
        <v>55</v>
      </c>
      <c r="K491" s="2" t="s">
        <v>44</v>
      </c>
      <c r="L491" s="2" t="s">
        <v>45</v>
      </c>
      <c r="M491" s="2" t="s">
        <v>2990</v>
      </c>
      <c r="N491" s="2" t="n">
        <v>7</v>
      </c>
      <c r="O491" s="2" t="n">
        <v>0.3</v>
      </c>
      <c r="P491" s="2" t="n">
        <v>-243.74</v>
      </c>
      <c r="Q491" s="2" t="n">
        <v>23.64</v>
      </c>
      <c r="R491" s="2" t="s">
        <v>190</v>
      </c>
      <c r="S491" s="2" t="s">
        <v>33</v>
      </c>
    </row>
    <row r="492" customFormat="false" ht="15" hidden="false" customHeight="false" outlineLevel="0" collapsed="false">
      <c r="A492" s="2" t="s">
        <v>2991</v>
      </c>
      <c r="B492" s="2" t="s">
        <v>2992</v>
      </c>
      <c r="C492" s="2" t="s">
        <v>2003</v>
      </c>
      <c r="D492" s="2" t="s">
        <v>2993</v>
      </c>
      <c r="E492" s="2" t="s">
        <v>2994</v>
      </c>
      <c r="F492" s="2" t="s">
        <v>66</v>
      </c>
      <c r="G492" s="2" t="s">
        <v>127</v>
      </c>
      <c r="H492" s="2" t="s">
        <v>128</v>
      </c>
      <c r="I492" s="2" t="s">
        <v>42</v>
      </c>
      <c r="J492" s="2" t="s">
        <v>43</v>
      </c>
      <c r="K492" s="2" t="s">
        <v>277</v>
      </c>
      <c r="L492" s="2" t="s">
        <v>613</v>
      </c>
      <c r="M492" s="2" t="s">
        <v>2995</v>
      </c>
      <c r="N492" s="2" t="n">
        <v>12</v>
      </c>
      <c r="O492" s="2" t="n">
        <v>0</v>
      </c>
      <c r="P492" s="2" t="n">
        <v>508.21</v>
      </c>
      <c r="Q492" s="2" t="n">
        <v>47.74</v>
      </c>
      <c r="R492" s="2" t="s">
        <v>190</v>
      </c>
      <c r="S492" s="2" t="s">
        <v>60</v>
      </c>
    </row>
    <row r="493" customFormat="false" ht="15" hidden="false" customHeight="false" outlineLevel="0" collapsed="false">
      <c r="A493" s="2" t="s">
        <v>2996</v>
      </c>
      <c r="B493" s="2" t="s">
        <v>2997</v>
      </c>
      <c r="C493" s="2" t="s">
        <v>1404</v>
      </c>
      <c r="D493" s="2" t="s">
        <v>824</v>
      </c>
      <c r="E493" s="2" t="s">
        <v>825</v>
      </c>
      <c r="F493" s="2" t="s">
        <v>66</v>
      </c>
      <c r="G493" s="2" t="s">
        <v>1124</v>
      </c>
      <c r="H493" s="2" t="s">
        <v>68</v>
      </c>
      <c r="I493" s="2" t="s">
        <v>42</v>
      </c>
      <c r="J493" s="2" t="s">
        <v>55</v>
      </c>
      <c r="K493" s="2" t="s">
        <v>44</v>
      </c>
      <c r="L493" s="2" t="s">
        <v>300</v>
      </c>
      <c r="M493" s="2" t="s">
        <v>2998</v>
      </c>
      <c r="N493" s="2" t="n">
        <v>1</v>
      </c>
      <c r="O493" s="2" t="n">
        <v>0.4</v>
      </c>
      <c r="P493" s="2" t="n">
        <v>-1.97</v>
      </c>
      <c r="Q493" s="2" t="n">
        <v>2.42</v>
      </c>
      <c r="R493" s="2" t="s">
        <v>32</v>
      </c>
      <c r="S493" s="2" t="s">
        <v>73</v>
      </c>
    </row>
    <row r="494" customFormat="false" ht="15" hidden="false" customHeight="false" outlineLevel="0" collapsed="false">
      <c r="A494" s="2" t="s">
        <v>2999</v>
      </c>
      <c r="B494" s="2" t="s">
        <v>3000</v>
      </c>
      <c r="C494" s="2" t="s">
        <v>3001</v>
      </c>
      <c r="D494" s="2" t="s">
        <v>3002</v>
      </c>
      <c r="E494" s="2" t="s">
        <v>3003</v>
      </c>
      <c r="F494" s="2" t="s">
        <v>79</v>
      </c>
      <c r="G494" s="2" t="s">
        <v>3004</v>
      </c>
      <c r="H494" s="2" t="s">
        <v>169</v>
      </c>
      <c r="I494" s="2" t="s">
        <v>106</v>
      </c>
      <c r="J494" s="2" t="s">
        <v>28</v>
      </c>
      <c r="K494" s="2" t="s">
        <v>29</v>
      </c>
      <c r="L494" s="2" t="s">
        <v>374</v>
      </c>
      <c r="M494" s="2" t="s">
        <v>3005</v>
      </c>
      <c r="N494" s="2" t="n">
        <v>4</v>
      </c>
      <c r="O494" s="2" t="n">
        <v>0.1</v>
      </c>
      <c r="P494" s="2" t="n">
        <v>271.94</v>
      </c>
      <c r="Q494" s="2" t="n">
        <v>45.66</v>
      </c>
      <c r="R494" s="2" t="s">
        <v>47</v>
      </c>
      <c r="S494" s="2" t="s">
        <v>33</v>
      </c>
    </row>
    <row r="495" customFormat="false" ht="15" hidden="false" customHeight="false" outlineLevel="0" collapsed="false">
      <c r="A495" s="2" t="s">
        <v>3006</v>
      </c>
      <c r="B495" s="2" t="s">
        <v>3007</v>
      </c>
      <c r="C495" s="2" t="s">
        <v>3008</v>
      </c>
      <c r="D495" s="2" t="s">
        <v>3009</v>
      </c>
      <c r="E495" s="2" t="s">
        <v>3010</v>
      </c>
      <c r="F495" s="2" t="s">
        <v>66</v>
      </c>
      <c r="G495" s="2" t="s">
        <v>1943</v>
      </c>
      <c r="H495" s="2" t="s">
        <v>151</v>
      </c>
      <c r="I495" s="2" t="s">
        <v>27</v>
      </c>
      <c r="J495" s="2" t="s">
        <v>343</v>
      </c>
      <c r="K495" s="2" t="s">
        <v>118</v>
      </c>
      <c r="L495" s="2" t="s">
        <v>260</v>
      </c>
      <c r="M495" s="2" t="s">
        <v>3011</v>
      </c>
      <c r="N495" s="2" t="n">
        <v>2</v>
      </c>
      <c r="O495" s="2" t="n">
        <v>0.1</v>
      </c>
      <c r="P495" s="2" t="n">
        <v>140.07</v>
      </c>
      <c r="Q495" s="2" t="n">
        <v>52.11</v>
      </c>
      <c r="R495" s="2" t="s">
        <v>72</v>
      </c>
      <c r="S495" s="2" t="s">
        <v>73</v>
      </c>
    </row>
    <row r="496" customFormat="false" ht="15" hidden="false" customHeight="false" outlineLevel="0" collapsed="false">
      <c r="A496" s="2" t="s">
        <v>3012</v>
      </c>
      <c r="B496" s="2" t="s">
        <v>3013</v>
      </c>
      <c r="C496" s="2" t="s">
        <v>3014</v>
      </c>
      <c r="D496" s="2" t="s">
        <v>1214</v>
      </c>
      <c r="E496" s="2" t="s">
        <v>1215</v>
      </c>
      <c r="F496" s="2" t="s">
        <v>103</v>
      </c>
      <c r="G496" s="2" t="s">
        <v>639</v>
      </c>
      <c r="H496" s="2" t="s">
        <v>365</v>
      </c>
      <c r="I496" s="2" t="s">
        <v>106</v>
      </c>
      <c r="J496" s="2" t="s">
        <v>343</v>
      </c>
      <c r="K496" s="2" t="s">
        <v>29</v>
      </c>
      <c r="L496" s="2" t="s">
        <v>30</v>
      </c>
      <c r="M496" s="2" t="s">
        <v>3015</v>
      </c>
      <c r="N496" s="2" t="n">
        <v>9</v>
      </c>
      <c r="O496" s="2" t="n">
        <v>0.15</v>
      </c>
      <c r="P496" s="2" t="n">
        <v>1542.19</v>
      </c>
      <c r="Q496" s="2" t="n">
        <v>29.31</v>
      </c>
      <c r="R496" s="2" t="s">
        <v>173</v>
      </c>
      <c r="S496" s="2" t="s">
        <v>73</v>
      </c>
    </row>
    <row r="497" customFormat="false" ht="15" hidden="false" customHeight="false" outlineLevel="0" collapsed="false">
      <c r="A497" s="2" t="s">
        <v>3016</v>
      </c>
      <c r="B497" s="2" t="s">
        <v>3017</v>
      </c>
      <c r="C497" s="2" t="s">
        <v>3018</v>
      </c>
      <c r="D497" s="2" t="s">
        <v>436</v>
      </c>
      <c r="E497" s="2" t="s">
        <v>437</v>
      </c>
      <c r="F497" s="2" t="s">
        <v>179</v>
      </c>
      <c r="G497" s="2" t="s">
        <v>450</v>
      </c>
      <c r="H497" s="2" t="s">
        <v>259</v>
      </c>
      <c r="I497" s="2" t="s">
        <v>106</v>
      </c>
      <c r="J497" s="2" t="s">
        <v>82</v>
      </c>
      <c r="K497" s="2" t="s">
        <v>118</v>
      </c>
      <c r="L497" s="2" t="s">
        <v>251</v>
      </c>
      <c r="M497" s="2" t="s">
        <v>3019</v>
      </c>
      <c r="N497" s="2" t="n">
        <v>1</v>
      </c>
      <c r="O497" s="2" t="n">
        <v>0</v>
      </c>
      <c r="P497" s="2" t="n">
        <v>88.35</v>
      </c>
      <c r="Q497" s="2" t="n">
        <v>58.05</v>
      </c>
      <c r="R497" s="2" t="s">
        <v>162</v>
      </c>
      <c r="S497" s="2" t="s">
        <v>110</v>
      </c>
    </row>
    <row r="498" customFormat="false" ht="15" hidden="false" customHeight="false" outlineLevel="0" collapsed="false">
      <c r="A498" s="2" t="s">
        <v>3020</v>
      </c>
      <c r="B498" s="2" t="s">
        <v>2196</v>
      </c>
      <c r="C498" s="2" t="s">
        <v>3021</v>
      </c>
      <c r="D498" s="2" t="s">
        <v>519</v>
      </c>
      <c r="E498" s="2" t="s">
        <v>520</v>
      </c>
      <c r="F498" s="2" t="s">
        <v>66</v>
      </c>
      <c r="G498" s="2" t="s">
        <v>998</v>
      </c>
      <c r="H498" s="2" t="s">
        <v>41</v>
      </c>
      <c r="I498" s="2" t="s">
        <v>42</v>
      </c>
      <c r="J498" s="2" t="s">
        <v>343</v>
      </c>
      <c r="K498" s="2" t="s">
        <v>83</v>
      </c>
      <c r="L498" s="2" t="s">
        <v>431</v>
      </c>
      <c r="M498" s="2" t="s">
        <v>3022</v>
      </c>
      <c r="N498" s="2" t="n">
        <v>11</v>
      </c>
      <c r="O498" s="2" t="n">
        <v>0.15</v>
      </c>
      <c r="P498" s="2" t="n">
        <v>404.63</v>
      </c>
      <c r="Q498" s="2" t="n">
        <v>25.21</v>
      </c>
      <c r="R498" s="2" t="s">
        <v>162</v>
      </c>
      <c r="S498" s="2" t="s">
        <v>110</v>
      </c>
    </row>
    <row r="499" customFormat="false" ht="15" hidden="false" customHeight="false" outlineLevel="0" collapsed="false">
      <c r="A499" s="2" t="s">
        <v>3023</v>
      </c>
      <c r="B499" s="2" t="s">
        <v>3024</v>
      </c>
      <c r="C499" s="2" t="s">
        <v>3025</v>
      </c>
      <c r="D499" s="2" t="s">
        <v>3026</v>
      </c>
      <c r="E499" s="2" t="s">
        <v>3027</v>
      </c>
      <c r="F499" s="2" t="s">
        <v>179</v>
      </c>
      <c r="G499" s="2" t="s">
        <v>595</v>
      </c>
      <c r="H499" s="2" t="s">
        <v>140</v>
      </c>
      <c r="I499" s="2" t="s">
        <v>54</v>
      </c>
      <c r="J499" s="2" t="s">
        <v>82</v>
      </c>
      <c r="K499" s="2" t="s">
        <v>83</v>
      </c>
      <c r="L499" s="2" t="s">
        <v>431</v>
      </c>
      <c r="M499" s="2" t="s">
        <v>3028</v>
      </c>
      <c r="N499" s="2" t="n">
        <v>10</v>
      </c>
      <c r="O499" s="2" t="n">
        <v>0.5</v>
      </c>
      <c r="P499" s="2" t="n">
        <v>-356</v>
      </c>
      <c r="Q499" s="2" t="n">
        <v>18.75</v>
      </c>
      <c r="R499" s="2" t="s">
        <v>72</v>
      </c>
      <c r="S499" s="2" t="s">
        <v>73</v>
      </c>
    </row>
    <row r="500" customFormat="false" ht="15" hidden="false" customHeight="false" outlineLevel="0" collapsed="false">
      <c r="A500" s="2" t="s">
        <v>3029</v>
      </c>
      <c r="B500" s="2" t="s">
        <v>3030</v>
      </c>
      <c r="C500" s="2" t="s">
        <v>2337</v>
      </c>
      <c r="D500" s="2" t="s">
        <v>3031</v>
      </c>
      <c r="E500" s="2" t="s">
        <v>3032</v>
      </c>
      <c r="F500" s="2" t="s">
        <v>196</v>
      </c>
      <c r="G500" s="2" t="s">
        <v>1537</v>
      </c>
      <c r="H500" s="2" t="s">
        <v>365</v>
      </c>
      <c r="I500" s="2" t="s">
        <v>106</v>
      </c>
      <c r="J500" s="2" t="s">
        <v>55</v>
      </c>
      <c r="K500" s="2" t="s">
        <v>44</v>
      </c>
      <c r="L500" s="2" t="s">
        <v>351</v>
      </c>
      <c r="M500" s="2" t="s">
        <v>3033</v>
      </c>
      <c r="N500" s="2" t="n">
        <v>1</v>
      </c>
      <c r="O500" s="2" t="n">
        <v>0.1</v>
      </c>
      <c r="P500" s="2" t="n">
        <v>4.64</v>
      </c>
      <c r="Q500" s="2" t="n">
        <v>36.46</v>
      </c>
      <c r="R500" s="2" t="s">
        <v>181</v>
      </c>
      <c r="S500" s="2" t="s">
        <v>73</v>
      </c>
    </row>
    <row r="501" customFormat="false" ht="15" hidden="false" customHeight="false" outlineLevel="0" collapsed="false">
      <c r="A501" s="2" t="s">
        <v>3034</v>
      </c>
      <c r="B501" s="2" t="s">
        <v>3035</v>
      </c>
      <c r="C501" s="2" t="s">
        <v>3036</v>
      </c>
      <c r="D501" s="2" t="s">
        <v>1014</v>
      </c>
      <c r="E501" s="2" t="s">
        <v>1015</v>
      </c>
      <c r="F501" s="2" t="s">
        <v>594</v>
      </c>
      <c r="G501" s="2" t="s">
        <v>80</v>
      </c>
      <c r="H501" s="2" t="s">
        <v>81</v>
      </c>
      <c r="I501" s="2" t="s">
        <v>42</v>
      </c>
      <c r="J501" s="2" t="s">
        <v>343</v>
      </c>
      <c r="K501" s="2" t="s">
        <v>83</v>
      </c>
      <c r="L501" s="2" t="s">
        <v>84</v>
      </c>
      <c r="M501" s="2" t="s">
        <v>3037</v>
      </c>
      <c r="N501" s="2" t="n">
        <v>10</v>
      </c>
      <c r="O501" s="2" t="n">
        <v>0</v>
      </c>
      <c r="P501" s="2" t="n">
        <v>1492.65</v>
      </c>
      <c r="Q501" s="2" t="n">
        <v>22.89</v>
      </c>
      <c r="R501" s="2" t="s">
        <v>992</v>
      </c>
      <c r="S501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1" t="s">
        <v>0</v>
      </c>
      <c r="B1" s="1" t="s">
        <v>3038</v>
      </c>
      <c r="C1" s="1" t="s">
        <v>3039</v>
      </c>
      <c r="D1" s="1" t="s">
        <v>3040</v>
      </c>
      <c r="E1" s="1" t="s">
        <v>3041</v>
      </c>
      <c r="F1" s="1" t="s">
        <v>3042</v>
      </c>
      <c r="G1" s="1" t="s">
        <v>3043</v>
      </c>
      <c r="H1" s="1" t="s">
        <v>3044</v>
      </c>
      <c r="I1" s="1" t="s">
        <v>3045</v>
      </c>
    </row>
    <row r="2" customFormat="false" ht="15" hidden="false" customHeight="false" outlineLevel="0" collapsed="false">
      <c r="A2" s="2" t="str">
        <f aca="false">'Raw Data'!A2</f>
        <v>ORD-7979</v>
      </c>
      <c r="B2" s="3" t="n">
        <f aca="false">IFERROR(DATEVALUE('Raw Data'!B2),"Check Format")</f>
        <v>45291</v>
      </c>
      <c r="C2" s="2" t="str">
        <f aca="false">IF('Raw Data'!E2="",IFERROR(INDEX('Raw Data'!$E$2:$E$501,MATCH('Raw Data'!D2,'Raw Data'!$D$2:$D$501,0)),"Unknown Customer"),'Raw Data'!E2)</f>
        <v>Brandon Kelly</v>
      </c>
      <c r="D2" s="2" t="str">
        <f aca="false">PROPER(TRIM('Raw Data'!G2))</f>
        <v>Columbus</v>
      </c>
      <c r="E2" s="2" t="n">
        <f aca="false">ROUND(VALUE(SUBSTITUTE(TRIM('Raw Data'!M2),"$","")),2)</f>
        <v>156.38</v>
      </c>
      <c r="F2" s="2" t="n">
        <f aca="false">IF('Raw Data'!O2="",0,'Raw Data'!O2)</f>
        <v>0.1</v>
      </c>
      <c r="G2" s="2" t="n">
        <f aca="false">ROUND('Raw Data'!P2,2)</f>
        <v>31.11</v>
      </c>
      <c r="H2" s="2" t="str">
        <f aca="false">IF('Raw Data'!S2="","Medium",'Raw Data'!S2)</f>
        <v>Low</v>
      </c>
      <c r="I2" s="2" t="str">
        <f aca="false">IF(E2&lt;100,"Small",IF(E2&lt;500,"Medium",IF(E2&lt;1500,"Large","Very Large")))</f>
        <v>Medium</v>
      </c>
    </row>
    <row r="3" customFormat="false" ht="15" hidden="false" customHeight="false" outlineLevel="0" collapsed="false">
      <c r="A3" s="2" t="str">
        <f aca="false">'Raw Data'!A3</f>
        <v>ORD-12072</v>
      </c>
      <c r="B3" s="3" t="n">
        <f aca="false">IFERROR(DATEVALUE('Raw Data'!B3),"Check Format")</f>
        <v>46130</v>
      </c>
      <c r="C3" s="2" t="str">
        <f aca="false">IF('Raw Data'!E3="",IFERROR(INDEX('Raw Data'!$E$2:$E$501,MATCH('Raw Data'!D3,'Raw Data'!$D$2:$D$501,0)),"Unknown Customer"),'Raw Data'!E3)</f>
        <v>Kara Sandoval</v>
      </c>
      <c r="D3" s="2" t="str">
        <f aca="false">PROPER(TRIM('Raw Data'!G3))</f>
        <v>Miami</v>
      </c>
      <c r="E3" s="2" t="n">
        <f aca="false">ROUND(VALUE(SUBSTITUTE(TRIM('Raw Data'!M3),"$","")),2)</f>
        <v>986.48</v>
      </c>
      <c r="F3" s="2" t="n">
        <f aca="false">IF('Raw Data'!O3="",0,'Raw Data'!O3)</f>
        <v>0.3</v>
      </c>
      <c r="G3" s="2" t="n">
        <f aca="false">ROUND('Raw Data'!P3,2)</f>
        <v>-102.9</v>
      </c>
      <c r="H3" s="2" t="str">
        <f aca="false">IF('Raw Data'!S3="","Medium",'Raw Data'!S3)</f>
        <v>Low</v>
      </c>
      <c r="I3" s="2" t="str">
        <f aca="false">IF(E3&lt;100,"Small",IF(E3&lt;500,"Medium",IF(E3&lt;1500,"Large","Very Large")))</f>
        <v>Large</v>
      </c>
    </row>
    <row r="4" customFormat="false" ht="15" hidden="false" customHeight="false" outlineLevel="0" collapsed="false">
      <c r="A4" s="2" t="str">
        <f aca="false">'Raw Data'!A4</f>
        <v>ORD-6756</v>
      </c>
      <c r="B4" s="3" t="n">
        <f aca="false">IFERROR(DATEVALUE('Raw Data'!B4),"Check Format")</f>
        <v>45641</v>
      </c>
      <c r="C4" s="2" t="n">
        <f aca="false">IF('Raw Data'!E4="",IFERROR(INDEX('Raw Data'!$E$2:$E$501,MATCH('Raw Data'!D4,'Raw Data'!$D$2:$D$501,0)),"Unknown Customer"),'Raw Data'!E4)</f>
        <v>0</v>
      </c>
      <c r="D4" s="2" t="str">
        <f aca="false">PROPER(TRIM('Raw Data'!G4))</f>
        <v>Birmingham</v>
      </c>
      <c r="E4" s="2" t="n">
        <f aca="false">ROUND(VALUE(SUBSTITUTE(TRIM('Raw Data'!M4),"$","")),2)</f>
        <v>1162.5</v>
      </c>
      <c r="F4" s="2" t="n">
        <f aca="false">IF('Raw Data'!O4="",0,'Raw Data'!O4)</f>
        <v>0.3</v>
      </c>
      <c r="G4" s="2" t="n">
        <f aca="false">ROUND('Raw Data'!P4,2)</f>
        <v>66.88</v>
      </c>
      <c r="H4" s="2" t="str">
        <f aca="false">IF('Raw Data'!S4="","Medium",'Raw Data'!S4)</f>
        <v>High</v>
      </c>
      <c r="I4" s="2" t="str">
        <f aca="false">IF(E4&lt;100,"Small",IF(E4&lt;500,"Medium",IF(E4&lt;1500,"Large","Very Large")))</f>
        <v>Large</v>
      </c>
    </row>
    <row r="5" customFormat="false" ht="15" hidden="false" customHeight="false" outlineLevel="0" collapsed="false">
      <c r="A5" s="2" t="str">
        <f aca="false">'Raw Data'!A5</f>
        <v>ORD-12634</v>
      </c>
      <c r="B5" s="3" t="n">
        <f aca="false">IFERROR(DATEVALUE('Raw Data'!B5),"Check Format")</f>
        <v>45269</v>
      </c>
      <c r="C5" s="2" t="str">
        <f aca="false">IF('Raw Data'!E5="",IFERROR(INDEX('Raw Data'!$E$2:$E$501,MATCH('Raw Data'!D5,'Raw Data'!$D$2:$D$501,0)),"Unknown Customer"),'Raw Data'!E5)</f>
        <v>Amy Miller</v>
      </c>
      <c r="D5" s="2" t="str">
        <f aca="false">PROPER(TRIM('Raw Data'!G5))</f>
        <v>Albany</v>
      </c>
      <c r="E5" s="2" t="n">
        <f aca="false">ROUND(VALUE(SUBSTITUTE(TRIM('Raw Data'!M5),"$","")),2)</f>
        <v>206.7</v>
      </c>
      <c r="F5" s="2" t="n">
        <f aca="false">IF('Raw Data'!O5="",0,'Raw Data'!O5)</f>
        <v>0.3</v>
      </c>
      <c r="G5" s="2" t="n">
        <f aca="false">ROUND('Raw Data'!P5,2)</f>
        <v>-4.43</v>
      </c>
      <c r="H5" s="2" t="str">
        <f aca="false">IF('Raw Data'!S5="","Medium",'Raw Data'!S5)</f>
        <v>Critical</v>
      </c>
      <c r="I5" s="2" t="str">
        <f aca="false">IF(E5&lt;100,"Small",IF(E5&lt;500,"Medium",IF(E5&lt;1500,"Large","Very Large")))</f>
        <v>Medium</v>
      </c>
    </row>
    <row r="6" customFormat="false" ht="15" hidden="false" customHeight="false" outlineLevel="0" collapsed="false">
      <c r="A6" s="2" t="str">
        <f aca="false">'Raw Data'!A6</f>
        <v>ORD-14527</v>
      </c>
      <c r="B6" s="3" t="n">
        <f aca="false">IFERROR(DATEVALUE('Raw Data'!B6),"Check Format")</f>
        <v>45960</v>
      </c>
      <c r="C6" s="2" t="str">
        <f aca="false">IF('Raw Data'!E6="",IFERROR(INDEX('Raw Data'!$E$2:$E$501,MATCH('Raw Data'!D6,'Raw Data'!$D$2:$D$501,0)),"Unknown Customer"),'Raw Data'!E6)</f>
        <v>Melissa Abbott</v>
      </c>
      <c r="D6" s="2" t="str">
        <f aca="false">PROPER(TRIM('Raw Data'!G6))</f>
        <v>Norfolk</v>
      </c>
      <c r="E6" s="2" t="n">
        <f aca="false">ROUND(VALUE(SUBSTITUTE(TRIM('Raw Data'!M6),"$","")),2)</f>
        <v>6846.35</v>
      </c>
      <c r="F6" s="2" t="n">
        <f aca="false">IF('Raw Data'!O6="",0,'Raw Data'!O6)</f>
        <v>0</v>
      </c>
      <c r="G6" s="2" t="n">
        <f aca="false">ROUND('Raw Data'!P6,2)</f>
        <v>1973.68</v>
      </c>
      <c r="H6" s="2" t="str">
        <f aca="false">IF('Raw Data'!S6="","Medium",'Raw Data'!S6)</f>
        <v>Low</v>
      </c>
      <c r="I6" s="2" t="str">
        <f aca="false">IF(E6&lt;100,"Small",IF(E6&lt;500,"Medium",IF(E6&lt;1500,"Large","Very Large")))</f>
        <v>Very Large</v>
      </c>
    </row>
    <row r="7" customFormat="false" ht="15" hidden="false" customHeight="false" outlineLevel="0" collapsed="false">
      <c r="A7" s="2" t="str">
        <f aca="false">'Raw Data'!A7</f>
        <v>ORD-4886</v>
      </c>
      <c r="B7" s="2" t="str">
        <f aca="false">IFERROR(DATEVALUE('Raw Data'!B7),"Check Format")</f>
        <v>Check Format</v>
      </c>
      <c r="C7" s="2" t="str">
        <f aca="false">IF('Raw Data'!E7="",IFERROR(INDEX('Raw Data'!$E$2:$E$501,MATCH('Raw Data'!D7,'Raw Data'!$D$2:$D$501,0)),"Unknown Customer"),'Raw Data'!E7)</f>
        <v>Katie Suarez</v>
      </c>
      <c r="D7" s="2" t="str">
        <f aca="false">PROPER(TRIM('Raw Data'!G7))</f>
        <v>Richmond</v>
      </c>
      <c r="E7" s="2" t="n">
        <f aca="false">ROUND(VALUE(SUBSTITUTE(TRIM('Raw Data'!M7),"$","")),2)</f>
        <v>209.4</v>
      </c>
      <c r="F7" s="2" t="n">
        <f aca="false">IF('Raw Data'!O7="",0,'Raw Data'!O7)</f>
        <v>0</v>
      </c>
      <c r="G7" s="2" t="n">
        <f aca="false">ROUND('Raw Data'!P7,2)</f>
        <v>0</v>
      </c>
      <c r="H7" s="2" t="str">
        <f aca="false">IF('Raw Data'!S7="","Medium",'Raw Data'!S7)</f>
        <v>Critical</v>
      </c>
      <c r="I7" s="2" t="str">
        <f aca="false">IF(E7&lt;100,"Small",IF(E7&lt;500,"Medium",IF(E7&lt;1500,"Large","Very Large")))</f>
        <v>Medium</v>
      </c>
    </row>
    <row r="8" customFormat="false" ht="15" hidden="false" customHeight="false" outlineLevel="0" collapsed="false">
      <c r="A8" s="2" t="str">
        <f aca="false">'Raw Data'!A8</f>
        <v>ORD-5268</v>
      </c>
      <c r="B8" s="3" t="n">
        <f aca="false">IFERROR(DATEVALUE('Raw Data'!B8),"Check Format")</f>
        <v>45187</v>
      </c>
      <c r="C8" s="2" t="str">
        <f aca="false">IF('Raw Data'!E8="",IFERROR(INDEX('Raw Data'!$E$2:$E$501,MATCH('Raw Data'!D8,'Raw Data'!$D$2:$D$501,0)),"Unknown Customer"),'Raw Data'!E8)</f>
        <v>Todd Reynolds</v>
      </c>
      <c r="D8" s="2" t="str">
        <f aca="false">PROPER(TRIM('Raw Data'!G8))</f>
        <v>Las Vegas</v>
      </c>
      <c r="E8" s="2" t="n">
        <f aca="false">ROUND(VALUE(SUBSTITUTE(TRIM('Raw Data'!M8),"$","")),2)</f>
        <v>2705.92</v>
      </c>
      <c r="F8" s="2" t="n">
        <f aca="false">IF('Raw Data'!O8="",0,'Raw Data'!O8)</f>
        <v>0</v>
      </c>
      <c r="G8" s="2" t="n">
        <f aca="false">ROUND('Raw Data'!P8,2)</f>
        <v>1214.63</v>
      </c>
      <c r="H8" s="2" t="str">
        <f aca="false">IF('Raw Data'!S8="","Medium",'Raw Data'!S8)</f>
        <v>Medium</v>
      </c>
      <c r="I8" s="2" t="str">
        <f aca="false">IF(E8&lt;100,"Small",IF(E8&lt;500,"Medium",IF(E8&lt;1500,"Large","Very Large")))</f>
        <v>Very Large</v>
      </c>
    </row>
    <row r="9" customFormat="false" ht="15" hidden="false" customHeight="false" outlineLevel="0" collapsed="false">
      <c r="A9" s="2" t="str">
        <f aca="false">'Raw Data'!A9</f>
        <v>ORD-12605</v>
      </c>
      <c r="B9" s="2" t="str">
        <f aca="false">IFERROR(DATEVALUE('Raw Data'!B9),"Check Format")</f>
        <v>Check Format</v>
      </c>
      <c r="C9" s="2" t="str">
        <f aca="false">IF('Raw Data'!E9="",IFERROR(INDEX('Raw Data'!$E$2:$E$501,MATCH('Raw Data'!D9,'Raw Data'!$D$2:$D$501,0)),"Unknown Customer"),'Raw Data'!E9)</f>
        <v>Zachary Hicks</v>
      </c>
      <c r="D9" s="2" t="str">
        <f aca="false">PROPER(TRIM('Raw Data'!G9))</f>
        <v>San Antonio</v>
      </c>
      <c r="E9" s="2" t="n">
        <f aca="false">ROUND(VALUE(SUBSTITUTE(TRIM('Raw Data'!M9),"$","")),2)</f>
        <v>3137.44</v>
      </c>
      <c r="F9" s="2" t="n">
        <f aca="false">IF('Raw Data'!O9="",0,'Raw Data'!O9)</f>
        <v>0</v>
      </c>
      <c r="G9" s="2" t="n">
        <f aca="false">ROUND('Raw Data'!P9,2)</f>
        <v>1380.59</v>
      </c>
      <c r="H9" s="2" t="str">
        <f aca="false">IF('Raw Data'!S9="","Medium",'Raw Data'!S9)</f>
        <v>Critical</v>
      </c>
      <c r="I9" s="2" t="str">
        <f aca="false">IF(E9&lt;100,"Small",IF(E9&lt;500,"Medium",IF(E9&lt;1500,"Large","Very Large")))</f>
        <v>Very Large</v>
      </c>
    </row>
    <row r="10" customFormat="false" ht="15" hidden="false" customHeight="false" outlineLevel="0" collapsed="false">
      <c r="A10" s="2" t="str">
        <f aca="false">'Raw Data'!A10</f>
        <v>ORD-11390</v>
      </c>
      <c r="B10" s="3" t="n">
        <f aca="false">IFERROR(DATEVALUE('Raw Data'!B10),"Check Format")</f>
        <v>46057</v>
      </c>
      <c r="C10" s="2" t="str">
        <f aca="false">IF('Raw Data'!E10="",IFERROR(INDEX('Raw Data'!$E$2:$E$501,MATCH('Raw Data'!D10,'Raw Data'!$D$2:$D$501,0)),"Unknown Customer"),'Raw Data'!E10)</f>
        <v>Christine Parker</v>
      </c>
      <c r="D10" s="2" t="str">
        <f aca="false">PROPER(TRIM('Raw Data'!G10))</f>
        <v>Worcester</v>
      </c>
      <c r="E10" s="2" t="n">
        <f aca="false">ROUND(VALUE(SUBSTITUTE(TRIM('Raw Data'!M10),"$","")),2)</f>
        <v>110.97</v>
      </c>
      <c r="F10" s="2" t="n">
        <f aca="false">IF('Raw Data'!O10="",0,'Raw Data'!O10)</f>
        <v>0</v>
      </c>
      <c r="G10" s="2" t="n">
        <f aca="false">ROUND('Raw Data'!P10,2)</f>
        <v>19.56</v>
      </c>
      <c r="H10" s="2" t="str">
        <f aca="false">IF('Raw Data'!S10="","Medium",'Raw Data'!S10)</f>
        <v>Low</v>
      </c>
      <c r="I10" s="2" t="str">
        <f aca="false">IF(E10&lt;100,"Small",IF(E10&lt;500,"Medium",IF(E10&lt;1500,"Large","Very Large")))</f>
        <v>Medium</v>
      </c>
    </row>
    <row r="11" customFormat="false" ht="15" hidden="false" customHeight="false" outlineLevel="0" collapsed="false">
      <c r="A11" s="2" t="str">
        <f aca="false">'Raw Data'!A11</f>
        <v>ORD-7268</v>
      </c>
      <c r="B11" s="3" t="n">
        <f aca="false">IFERROR(DATEVALUE('Raw Data'!B11),"Check Format")</f>
        <v>46237</v>
      </c>
      <c r="C11" s="2" t="str">
        <f aca="false">IF('Raw Data'!E11="",IFERROR(INDEX('Raw Data'!$E$2:$E$501,MATCH('Raw Data'!D11,'Raw Data'!$D$2:$D$501,0)),"Unknown Customer"),'Raw Data'!E11)</f>
        <v>Robert Potter</v>
      </c>
      <c r="D11" s="2" t="str">
        <f aca="false">PROPER(TRIM('Raw Data'!G11))</f>
        <v>Lexington</v>
      </c>
      <c r="E11" s="2" t="n">
        <f aca="false">ROUND(VALUE(SUBSTITUTE(TRIM('Raw Data'!M11),"$","")),2)</f>
        <v>104.91</v>
      </c>
      <c r="F11" s="2" t="n">
        <f aca="false">IF('Raw Data'!O11="",0,'Raw Data'!O11)</f>
        <v>0.1</v>
      </c>
      <c r="G11" s="2" t="n">
        <f aca="false">ROUND('Raw Data'!P11,2)</f>
        <v>27.54</v>
      </c>
      <c r="H11" s="2" t="str">
        <f aca="false">IF('Raw Data'!S11="","Medium",'Raw Data'!S11)</f>
        <v>Medium</v>
      </c>
      <c r="I11" s="2" t="str">
        <f aca="false">IF(E11&lt;100,"Small",IF(E11&lt;500,"Medium",IF(E11&lt;1500,"Large","Very Large")))</f>
        <v>Medium</v>
      </c>
    </row>
    <row r="12" customFormat="false" ht="15" hidden="false" customHeight="false" outlineLevel="0" collapsed="false">
      <c r="A12" s="2" t="str">
        <f aca="false">'Raw Data'!A12</f>
        <v>ORD-13637</v>
      </c>
      <c r="B12" s="2" t="str">
        <f aca="false">IFERROR(DATEVALUE('Raw Data'!B12),"Check Format")</f>
        <v>Check Format</v>
      </c>
      <c r="C12" s="2" t="str">
        <f aca="false">IF('Raw Data'!E12="",IFERROR(INDEX('Raw Data'!$E$2:$E$501,MATCH('Raw Data'!D12,'Raw Data'!$D$2:$D$501,0)),"Unknown Customer"),'Raw Data'!E12)</f>
        <v>Dawn Rivera</v>
      </c>
      <c r="D12" s="2" t="str">
        <f aca="false">PROPER(TRIM('Raw Data'!G12))</f>
        <v>Springfield</v>
      </c>
      <c r="E12" s="2" t="n">
        <f aca="false">ROUND(VALUE(SUBSTITUTE(TRIM('Raw Data'!M12),"$","")),2)</f>
        <v>24.37</v>
      </c>
      <c r="F12" s="2" t="n">
        <f aca="false">IF('Raw Data'!O12="",0,'Raw Data'!O12)</f>
        <v>0.5</v>
      </c>
      <c r="G12" s="2" t="n">
        <f aca="false">ROUND('Raw Data'!P12,2)</f>
        <v>-5.2</v>
      </c>
      <c r="H12" s="2" t="str">
        <f aca="false">IF('Raw Data'!S12="","Medium",'Raw Data'!S12)</f>
        <v>Low</v>
      </c>
      <c r="I12" s="2" t="str">
        <f aca="false">IF(E12&lt;100,"Small",IF(E12&lt;500,"Medium",IF(E12&lt;1500,"Large","Very Large")))</f>
        <v>Small</v>
      </c>
    </row>
    <row r="13" customFormat="false" ht="15" hidden="false" customHeight="false" outlineLevel="0" collapsed="false">
      <c r="A13" s="2" t="str">
        <f aca="false">'Raw Data'!A13</f>
        <v>ORD-11892</v>
      </c>
      <c r="B13" s="2" t="str">
        <f aca="false">IFERROR(DATEVALUE('Raw Data'!B13),"Check Format")</f>
        <v>Check Format</v>
      </c>
      <c r="C13" s="2" t="str">
        <f aca="false">IF('Raw Data'!E13="",IFERROR(INDEX('Raw Data'!$E$2:$E$501,MATCH('Raw Data'!D13,'Raw Data'!$D$2:$D$501,0)),"Unknown Customer"),'Raw Data'!E13)</f>
        <v>Christopher Guerra</v>
      </c>
      <c r="D13" s="2" t="str">
        <f aca="false">PROPER(TRIM('Raw Data'!G13))</f>
        <v>St. Louis</v>
      </c>
      <c r="E13" s="2" t="n">
        <f aca="false">ROUND(VALUE(SUBSTITUTE(TRIM('Raw Data'!M13),"$","")),2)</f>
        <v>1051.92</v>
      </c>
      <c r="F13" s="2" t="n">
        <f aca="false">IF('Raw Data'!O13="",0,'Raw Data'!O13)</f>
        <v>0</v>
      </c>
      <c r="G13" s="2" t="n">
        <f aca="false">ROUND('Raw Data'!P13,2)</f>
        <v>360.56</v>
      </c>
      <c r="H13" s="2" t="str">
        <f aca="false">IF('Raw Data'!S13="","Medium",'Raw Data'!S13)</f>
        <v>Medium</v>
      </c>
      <c r="I13" s="2" t="str">
        <f aca="false">IF(E13&lt;100,"Small",IF(E13&lt;500,"Medium",IF(E13&lt;1500,"Large","Very Large")))</f>
        <v>Large</v>
      </c>
    </row>
    <row r="14" customFormat="false" ht="15" hidden="false" customHeight="false" outlineLevel="0" collapsed="false">
      <c r="A14" s="2" t="str">
        <f aca="false">'Raw Data'!A14</f>
        <v>ORD-7643</v>
      </c>
      <c r="B14" s="2" t="str">
        <f aca="false">IFERROR(DATEVALUE('Raw Data'!B14),"Check Format")</f>
        <v>Check Format</v>
      </c>
      <c r="C14" s="2" t="str">
        <f aca="false">IF('Raw Data'!E14="",IFERROR(INDEX('Raw Data'!$E$2:$E$501,MATCH('Raw Data'!D14,'Raw Data'!$D$2:$D$501,0)),"Unknown Customer"),'Raw Data'!E14)</f>
        <v>Julia Torres</v>
      </c>
      <c r="D14" s="2" t="str">
        <f aca="false">PROPER(TRIM('Raw Data'!G14))</f>
        <v>San Francisco</v>
      </c>
      <c r="E14" s="2" t="n">
        <f aca="false">ROUND(VALUE(SUBSTITUTE(TRIM('Raw Data'!M14),"$","")),2)</f>
        <v>145.8</v>
      </c>
      <c r="F14" s="2" t="n">
        <f aca="false">IF('Raw Data'!O14="",0,'Raw Data'!O14)</f>
        <v>0.1</v>
      </c>
      <c r="G14" s="2" t="n">
        <f aca="false">ROUND('Raw Data'!P14,2)</f>
        <v>19.16</v>
      </c>
      <c r="H14" s="2" t="str">
        <f aca="false">IF('Raw Data'!S14="","Medium",'Raw Data'!S14)</f>
        <v>Low</v>
      </c>
      <c r="I14" s="2" t="str">
        <f aca="false">IF(E14&lt;100,"Small",IF(E14&lt;500,"Medium",IF(E14&lt;1500,"Large","Very Large")))</f>
        <v>Medium</v>
      </c>
    </row>
    <row r="15" customFormat="false" ht="15" hidden="false" customHeight="false" outlineLevel="0" collapsed="false">
      <c r="A15" s="2" t="str">
        <f aca="false">'Raw Data'!A15</f>
        <v>ORD-14512</v>
      </c>
      <c r="B15" s="2" t="str">
        <f aca="false">IFERROR(DATEVALUE('Raw Data'!B15),"Check Format")</f>
        <v>Check Format</v>
      </c>
      <c r="C15" s="2" t="str">
        <f aca="false">IF('Raw Data'!E15="",IFERROR(INDEX('Raw Data'!$E$2:$E$501,MATCH('Raw Data'!D15,'Raw Data'!$D$2:$D$501,0)),"Unknown Customer"),'Raw Data'!E15)</f>
        <v>Douglas Gregory</v>
      </c>
      <c r="D15" s="2" t="str">
        <f aca="false">PROPER(TRIM('Raw Data'!G15))</f>
        <v>Las Vegas</v>
      </c>
      <c r="E15" s="2" t="n">
        <f aca="false">ROUND(VALUE(SUBSTITUTE(TRIM('Raw Data'!M15),"$","")),2)</f>
        <v>187.8</v>
      </c>
      <c r="F15" s="2" t="n">
        <f aca="false">IF('Raw Data'!O15="",0,'Raw Data'!O15)</f>
        <v>0</v>
      </c>
      <c r="G15" s="2" t="n">
        <f aca="false">ROUND('Raw Data'!P15,2)</f>
        <v>31.08</v>
      </c>
      <c r="H15" s="2" t="str">
        <f aca="false">IF('Raw Data'!S15="","Medium",'Raw Data'!S15)</f>
        <v>High</v>
      </c>
      <c r="I15" s="2" t="str">
        <f aca="false">IF(E15&lt;100,"Small",IF(E15&lt;500,"Medium",IF(E15&lt;1500,"Large","Very Large")))</f>
        <v>Medium</v>
      </c>
    </row>
    <row r="16" customFormat="false" ht="15" hidden="false" customHeight="false" outlineLevel="0" collapsed="false">
      <c r="A16" s="2" t="str">
        <f aca="false">'Raw Data'!A16</f>
        <v>ORD-16774</v>
      </c>
      <c r="B16" s="3" t="n">
        <f aca="false">IFERROR(DATEVALUE('Raw Data'!B16),"Check Format")</f>
        <v>45363</v>
      </c>
      <c r="C16" s="2" t="str">
        <f aca="false">IF('Raw Data'!E16="",IFERROR(INDEX('Raw Data'!$E$2:$E$501,MATCH('Raw Data'!D16,'Raw Data'!$D$2:$D$501,0)),"Unknown Customer"),'Raw Data'!E16)</f>
        <v>Monica Ellis</v>
      </c>
      <c r="D16" s="2" t="str">
        <f aca="false">PROPER(TRIM('Raw Data'!G16))</f>
        <v>Chicago</v>
      </c>
      <c r="E16" s="2" t="n">
        <f aca="false">ROUND(VALUE(SUBSTITUTE(TRIM('Raw Data'!M16),"$","")),2)</f>
        <v>1286.73</v>
      </c>
      <c r="F16" s="2" t="n">
        <f aca="false">IF('Raw Data'!O16="",0,'Raw Data'!O16)</f>
        <v>0</v>
      </c>
      <c r="G16" s="2" t="n">
        <f aca="false">ROUND('Raw Data'!P16,2)</f>
        <v>293.05</v>
      </c>
      <c r="H16" s="2" t="str">
        <f aca="false">IF('Raw Data'!S16="","Medium",'Raw Data'!S16)</f>
        <v>Medium</v>
      </c>
      <c r="I16" s="2" t="str">
        <f aca="false">IF(E16&lt;100,"Small",IF(E16&lt;500,"Medium",IF(E16&lt;1500,"Large","Very Large")))</f>
        <v>Large</v>
      </c>
    </row>
    <row r="17" customFormat="false" ht="15" hidden="false" customHeight="false" outlineLevel="0" collapsed="false">
      <c r="A17" s="2" t="str">
        <f aca="false">'Raw Data'!A17</f>
        <v>ORD-8475</v>
      </c>
      <c r="B17" s="3" t="n">
        <f aca="false">IFERROR(DATEVALUE('Raw Data'!B17),"Check Format")</f>
        <v>45744</v>
      </c>
      <c r="C17" s="2" t="str">
        <f aca="false">IF('Raw Data'!E17="",IFERROR(INDEX('Raw Data'!$E$2:$E$501,MATCH('Raw Data'!D17,'Raw Data'!$D$2:$D$501,0)),"Unknown Customer"),'Raw Data'!E17)</f>
        <v>Joyce Bowen</v>
      </c>
      <c r="D17" s="2" t="str">
        <f aca="false">PROPER(TRIM('Raw Data'!G17))</f>
        <v>Eugene</v>
      </c>
      <c r="E17" s="2" t="n">
        <f aca="false">ROUND(VALUE(SUBSTITUTE(TRIM('Raw Data'!M17),"$","")),2)</f>
        <v>61.66</v>
      </c>
      <c r="F17" s="2" t="n">
        <f aca="false">IF('Raw Data'!O17="",0,'Raw Data'!O17)</f>
        <v>0.15</v>
      </c>
      <c r="G17" s="2" t="n">
        <f aca="false">ROUND('Raw Data'!P17,2)</f>
        <v>5.17</v>
      </c>
      <c r="H17" s="2" t="str">
        <f aca="false">IF('Raw Data'!S17="","Medium",'Raw Data'!S17)</f>
        <v>Critical</v>
      </c>
      <c r="I17" s="2" t="str">
        <f aca="false">IF(E17&lt;100,"Small",IF(E17&lt;500,"Medium",IF(E17&lt;1500,"Large","Very Large")))</f>
        <v>Small</v>
      </c>
    </row>
    <row r="18" customFormat="false" ht="15" hidden="false" customHeight="false" outlineLevel="0" collapsed="false">
      <c r="A18" s="2" t="str">
        <f aca="false">'Raw Data'!A18</f>
        <v>ORD-15479</v>
      </c>
      <c r="B18" s="2" t="str">
        <f aca="false">IFERROR(DATEVALUE('Raw Data'!B18),"Check Format")</f>
        <v>Check Format</v>
      </c>
      <c r="C18" s="2" t="str">
        <f aca="false">IF('Raw Data'!E18="",IFERROR(INDEX('Raw Data'!$E$2:$E$501,MATCH('Raw Data'!D18,'Raw Data'!$D$2:$D$501,0)),"Unknown Customer"),'Raw Data'!E18)</f>
        <v>Daniel Kennedy</v>
      </c>
      <c r="D18" s="2" t="str">
        <f aca="false">PROPER(TRIM('Raw Data'!G18))</f>
        <v>Duluth</v>
      </c>
      <c r="E18" s="2" t="n">
        <f aca="false">ROUND(VALUE(SUBSTITUTE(TRIM('Raw Data'!M18),"$","")),2)</f>
        <v>248.78</v>
      </c>
      <c r="F18" s="2" t="n">
        <f aca="false">IF('Raw Data'!O18="",0,'Raw Data'!O18)</f>
        <v>0.5</v>
      </c>
      <c r="G18" s="2" t="n">
        <f aca="false">ROUND('Raw Data'!P18,2)</f>
        <v>-29.59</v>
      </c>
      <c r="H18" s="2" t="str">
        <f aca="false">IF('Raw Data'!S18="","Medium",'Raw Data'!S18)</f>
        <v>Medium</v>
      </c>
      <c r="I18" s="2" t="str">
        <f aca="false">IF(E18&lt;100,"Small",IF(E18&lt;500,"Medium",IF(E18&lt;1500,"Large","Very Large")))</f>
        <v>Medium</v>
      </c>
    </row>
    <row r="19" customFormat="false" ht="15" hidden="false" customHeight="false" outlineLevel="0" collapsed="false">
      <c r="A19" s="2" t="str">
        <f aca="false">'Raw Data'!A19</f>
        <v>ORD-9695</v>
      </c>
      <c r="B19" s="3" t="n">
        <f aca="false">IFERROR(DATEVALUE('Raw Data'!B19),"Check Format")</f>
        <v>45270</v>
      </c>
      <c r="C19" s="2" t="str">
        <f aca="false">IF('Raw Data'!E19="",IFERROR(INDEX('Raw Data'!$E$2:$E$501,MATCH('Raw Data'!D19,'Raw Data'!$D$2:$D$501,0)),"Unknown Customer"),'Raw Data'!E19)</f>
        <v>Brian Martin</v>
      </c>
      <c r="D19" s="2" t="str">
        <f aca="false">PROPER(TRIM('Raw Data'!G19))</f>
        <v>Lexington</v>
      </c>
      <c r="E19" s="2" t="n">
        <f aca="false">ROUND(VALUE(SUBSTITUTE(TRIM('Raw Data'!M19),"$","")),2)</f>
        <v>122.48</v>
      </c>
      <c r="F19" s="2" t="n">
        <f aca="false">IF('Raw Data'!O19="",0,'Raw Data'!O19)</f>
        <v>0</v>
      </c>
      <c r="G19" s="2" t="n">
        <f aca="false">ROUND('Raw Data'!P19,2)</f>
        <v>46.05</v>
      </c>
      <c r="H19" s="2" t="str">
        <f aca="false">IF('Raw Data'!S19="","Medium",'Raw Data'!S19)</f>
        <v>Low</v>
      </c>
      <c r="I19" s="2" t="str">
        <f aca="false">IF(E19&lt;100,"Small",IF(E19&lt;500,"Medium",IF(E19&lt;1500,"Large","Very Large")))</f>
        <v>Medium</v>
      </c>
    </row>
    <row r="20" customFormat="false" ht="15" hidden="false" customHeight="false" outlineLevel="0" collapsed="false">
      <c r="A20" s="2" t="str">
        <f aca="false">'Raw Data'!A20</f>
        <v>ORD-17400</v>
      </c>
      <c r="B20" s="3" t="n">
        <f aca="false">IFERROR(DATEVALUE('Raw Data'!B20),"Check Format")</f>
        <v>45480</v>
      </c>
      <c r="C20" s="2" t="str">
        <f aca="false">IF('Raw Data'!E20="",IFERROR(INDEX('Raw Data'!$E$2:$E$501,MATCH('Raw Data'!D20,'Raw Data'!$D$2:$D$501,0)),"Unknown Customer"),'Raw Data'!E20)</f>
        <v>Mitchell Griffith</v>
      </c>
      <c r="D20" s="2" t="str">
        <f aca="false">PROPER(TRIM('Raw Data'!G20))</f>
        <v>Newark</v>
      </c>
      <c r="E20" s="2" t="n">
        <f aca="false">ROUND(VALUE(SUBSTITUTE(TRIM('Raw Data'!M20),"$","")),2)</f>
        <v>112.59</v>
      </c>
      <c r="F20" s="2" t="n">
        <f aca="false">IF('Raw Data'!O20="",0,'Raw Data'!O20)</f>
        <v>0.2</v>
      </c>
      <c r="G20" s="2" t="n">
        <f aca="false">ROUND('Raw Data'!P20,2)</f>
        <v>8.53</v>
      </c>
      <c r="H20" s="2" t="str">
        <f aca="false">IF('Raw Data'!S20="","Medium",'Raw Data'!S20)</f>
        <v>Low</v>
      </c>
      <c r="I20" s="2" t="str">
        <f aca="false">IF(E20&lt;100,"Small",IF(E20&lt;500,"Medium",IF(E20&lt;1500,"Large","Very Large")))</f>
        <v>Medium</v>
      </c>
    </row>
    <row r="21" customFormat="false" ht="15" hidden="false" customHeight="false" outlineLevel="0" collapsed="false">
      <c r="A21" s="2" t="str">
        <f aca="false">'Raw Data'!A21</f>
        <v>ORD-13169</v>
      </c>
      <c r="B21" s="3" t="n">
        <f aca="false">IFERROR(DATEVALUE('Raw Data'!B21),"Check Format")</f>
        <v>45931</v>
      </c>
      <c r="C21" s="2" t="str">
        <f aca="false">IF('Raw Data'!E21="",IFERROR(INDEX('Raw Data'!$E$2:$E$501,MATCH('Raw Data'!D21,'Raw Data'!$D$2:$D$501,0)),"Unknown Customer"),'Raw Data'!E21)</f>
        <v>Rodney Williams</v>
      </c>
      <c r="D21" s="2" t="str">
        <f aca="false">PROPER(TRIM('Raw Data'!G21))</f>
        <v>Lexington</v>
      </c>
      <c r="E21" s="2" t="n">
        <f aca="false">ROUND(VALUE(SUBSTITUTE(TRIM('Raw Data'!M21),"$","")),2)</f>
        <v>3389.76</v>
      </c>
      <c r="F21" s="2" t="n">
        <f aca="false">IF('Raw Data'!O21="",0,'Raw Data'!O21)</f>
        <v>0</v>
      </c>
      <c r="G21" s="2" t="n">
        <f aca="false">ROUND('Raw Data'!P21,2)</f>
        <v>743.62</v>
      </c>
      <c r="H21" s="2" t="str">
        <f aca="false">IF('Raw Data'!S21="","Medium",'Raw Data'!S21)</f>
        <v>Low</v>
      </c>
      <c r="I21" s="2" t="str">
        <f aca="false">IF(E21&lt;100,"Small",IF(E21&lt;500,"Medium",IF(E21&lt;1500,"Large","Very Large")))</f>
        <v>Very Large</v>
      </c>
    </row>
    <row r="22" customFormat="false" ht="15" hidden="false" customHeight="false" outlineLevel="0" collapsed="false">
      <c r="A22" s="2" t="str">
        <f aca="false">'Raw Data'!A22</f>
        <v>ORD-3764</v>
      </c>
      <c r="B22" s="3" t="n">
        <f aca="false">IFERROR(DATEVALUE('Raw Data'!B22),"Check Format")</f>
        <v>45493</v>
      </c>
      <c r="C22" s="2" t="str">
        <f aca="false">IF('Raw Data'!E22="",IFERROR(INDEX('Raw Data'!$E$2:$E$501,MATCH('Raw Data'!D22,'Raw Data'!$D$2:$D$501,0)),"Unknown Customer"),'Raw Data'!E22)</f>
        <v>Sean Curtis</v>
      </c>
      <c r="D22" s="2" t="str">
        <f aca="false">PROPER(TRIM('Raw Data'!G22))</f>
        <v>Savannah</v>
      </c>
      <c r="E22" s="2" t="n">
        <f aca="false">ROUND(VALUE(SUBSTITUTE(TRIM('Raw Data'!M22),"$","")),2)</f>
        <v>83.05</v>
      </c>
      <c r="F22" s="2" t="n">
        <f aca="false">IF('Raw Data'!O22="",0,'Raw Data'!O22)</f>
        <v>0.5</v>
      </c>
      <c r="G22" s="2" t="n">
        <f aca="false">ROUND('Raw Data'!P22,2)</f>
        <v>-9.58</v>
      </c>
      <c r="H22" s="2" t="str">
        <f aca="false">IF('Raw Data'!S22="","Medium",'Raw Data'!S22)</f>
        <v>High</v>
      </c>
      <c r="I22" s="2" t="str">
        <f aca="false">IF(E22&lt;100,"Small",IF(E22&lt;500,"Medium",IF(E22&lt;1500,"Large","Very Large")))</f>
        <v>Small</v>
      </c>
    </row>
    <row r="23" customFormat="false" ht="15" hidden="false" customHeight="false" outlineLevel="0" collapsed="false">
      <c r="A23" s="2" t="str">
        <f aca="false">'Raw Data'!A23</f>
        <v>ORD-14619</v>
      </c>
      <c r="B23" s="3" t="n">
        <f aca="false">IFERROR(DATEVALUE('Raw Data'!B23),"Check Format")</f>
        <v>46216</v>
      </c>
      <c r="C23" s="2" t="str">
        <f aca="false">IF('Raw Data'!E23="",IFERROR(INDEX('Raw Data'!$E$2:$E$501,MATCH('Raw Data'!D23,'Raw Data'!$D$2:$D$501,0)),"Unknown Customer"),'Raw Data'!E23)</f>
        <v>Nicole Richards</v>
      </c>
      <c r="D23" s="2" t="str">
        <f aca="false">PROPER(TRIM('Raw Data'!G23))</f>
        <v>Miami</v>
      </c>
      <c r="E23" s="2" t="n">
        <f aca="false">ROUND(VALUE(SUBSTITUTE(TRIM('Raw Data'!M23),"$","")),2)</f>
        <v>1946.34</v>
      </c>
      <c r="F23" s="2" t="n">
        <f aca="false">IF('Raw Data'!O23="",0,'Raw Data'!O23)</f>
        <v>0.3</v>
      </c>
      <c r="G23" s="2" t="n">
        <f aca="false">ROUND('Raw Data'!P23,2)</f>
        <v>-5.12</v>
      </c>
      <c r="H23" s="2" t="str">
        <f aca="false">IF('Raw Data'!S23="","Medium",'Raw Data'!S23)</f>
        <v>Medium</v>
      </c>
      <c r="I23" s="2" t="str">
        <f aca="false">IF(E23&lt;100,"Small",IF(E23&lt;500,"Medium",IF(E23&lt;1500,"Large","Very Large")))</f>
        <v>Very Large</v>
      </c>
    </row>
    <row r="24" customFormat="false" ht="15" hidden="false" customHeight="false" outlineLevel="0" collapsed="false">
      <c r="A24" s="2" t="str">
        <f aca="false">'Raw Data'!A24</f>
        <v>ORD-3648</v>
      </c>
      <c r="B24" s="2" t="str">
        <f aca="false">IFERROR(DATEVALUE('Raw Data'!B24),"Check Format")</f>
        <v>Check Format</v>
      </c>
      <c r="C24" s="2" t="str">
        <f aca="false">IF('Raw Data'!E24="",IFERROR(INDEX('Raw Data'!$E$2:$E$501,MATCH('Raw Data'!D24,'Raw Data'!$D$2:$D$501,0)),"Unknown Customer"),'Raw Data'!E24)</f>
        <v>Eric Rush</v>
      </c>
      <c r="D24" s="2" t="str">
        <f aca="false">PROPER(TRIM('Raw Data'!G24))</f>
        <v>Denver</v>
      </c>
      <c r="E24" s="2" t="n">
        <f aca="false">ROUND(VALUE(SUBSTITUTE(TRIM('Raw Data'!M24),"$","")),2)</f>
        <v>8933.16</v>
      </c>
      <c r="F24" s="2" t="n">
        <f aca="false">IF('Raw Data'!O24="",0,'Raw Data'!O24)</f>
        <v>0.5</v>
      </c>
      <c r="G24" s="2" t="n">
        <f aca="false">ROUND('Raw Data'!P24,2)</f>
        <v>-2067.26</v>
      </c>
      <c r="H24" s="2" t="str">
        <f aca="false">IF('Raw Data'!S24="","Medium",'Raw Data'!S24)</f>
        <v>Low</v>
      </c>
      <c r="I24" s="2" t="str">
        <f aca="false">IF(E24&lt;100,"Small",IF(E24&lt;500,"Medium",IF(E24&lt;1500,"Large","Very Large")))</f>
        <v>Very Large</v>
      </c>
    </row>
    <row r="25" customFormat="false" ht="15" hidden="false" customHeight="false" outlineLevel="0" collapsed="false">
      <c r="A25" s="2" t="str">
        <f aca="false">'Raw Data'!A25</f>
        <v>ORD-14198</v>
      </c>
      <c r="B25" s="2" t="str">
        <f aca="false">IFERROR(DATEVALUE('Raw Data'!B25),"Check Format")</f>
        <v>Check Format</v>
      </c>
      <c r="C25" s="2" t="str">
        <f aca="false">IF('Raw Data'!E25="",IFERROR(INDEX('Raw Data'!$E$2:$E$501,MATCH('Raw Data'!D25,'Raw Data'!$D$2:$D$501,0)),"Unknown Customer"),'Raw Data'!E25)</f>
        <v>Joseph Haynes</v>
      </c>
      <c r="D25" s="2" t="str">
        <f aca="false">PROPER(TRIM('Raw Data'!G25))</f>
        <v>Boulder</v>
      </c>
      <c r="E25" s="2" t="n">
        <f aca="false">ROUND(VALUE(SUBSTITUTE(TRIM('Raw Data'!M25),"$","")),2)</f>
        <v>180.18</v>
      </c>
      <c r="F25" s="2" t="n">
        <f aca="false">IF('Raw Data'!O25="",0,'Raw Data'!O25)</f>
        <v>0.3</v>
      </c>
      <c r="G25" s="2" t="n">
        <f aca="false">ROUND('Raw Data'!P25,2)</f>
        <v>-4.48</v>
      </c>
      <c r="H25" s="2" t="str">
        <f aca="false">IF('Raw Data'!S25="","Medium",'Raw Data'!S25)</f>
        <v>Medium</v>
      </c>
      <c r="I25" s="2" t="str">
        <f aca="false">IF(E25&lt;100,"Small",IF(E25&lt;500,"Medium",IF(E25&lt;1500,"Large","Very Large")))</f>
        <v>Medium</v>
      </c>
    </row>
    <row r="26" customFormat="false" ht="15" hidden="false" customHeight="false" outlineLevel="0" collapsed="false">
      <c r="A26" s="2" t="str">
        <f aca="false">'Raw Data'!A26</f>
        <v>ORD-5050</v>
      </c>
      <c r="B26" s="3" t="n">
        <f aca="false">IFERROR(DATEVALUE('Raw Data'!B26),"Check Format")</f>
        <v>45284</v>
      </c>
      <c r="C26" s="2" t="str">
        <f aca="false">IF('Raw Data'!E26="",IFERROR(INDEX('Raw Data'!$E$2:$E$501,MATCH('Raw Data'!D26,'Raw Data'!$D$2:$D$501,0)),"Unknown Customer"),'Raw Data'!E26)</f>
        <v>Mark Smith</v>
      </c>
      <c r="D26" s="2" t="str">
        <f aca="false">PROPER(TRIM('Raw Data'!G26))</f>
        <v>Cleveland</v>
      </c>
      <c r="E26" s="2" t="n">
        <f aca="false">ROUND(VALUE(SUBSTITUTE(TRIM('Raw Data'!M26),"$","")),2)</f>
        <v>2560.77</v>
      </c>
      <c r="F26" s="2" t="n">
        <f aca="false">IF('Raw Data'!O26="",0,'Raw Data'!O26)</f>
        <v>0</v>
      </c>
      <c r="G26" s="2" t="n">
        <f aca="false">ROUND('Raw Data'!P26,2)</f>
        <v>477.24</v>
      </c>
      <c r="H26" s="2" t="str">
        <f aca="false">IF('Raw Data'!S26="","Medium",'Raw Data'!S26)</f>
        <v>Critical</v>
      </c>
      <c r="I26" s="2" t="str">
        <f aca="false">IF(E26&lt;100,"Small",IF(E26&lt;500,"Medium",IF(E26&lt;1500,"Large","Very Large")))</f>
        <v>Very Large</v>
      </c>
    </row>
    <row r="27" customFormat="false" ht="15" hidden="false" customHeight="false" outlineLevel="0" collapsed="false">
      <c r="A27" s="2" t="str">
        <f aca="false">'Raw Data'!A27</f>
        <v>ORD-5598</v>
      </c>
      <c r="B27" s="2" t="str">
        <f aca="false">IFERROR(DATEVALUE('Raw Data'!B27),"Check Format")</f>
        <v>Check Format</v>
      </c>
      <c r="C27" s="2" t="str">
        <f aca="false">IF('Raw Data'!E27="",IFERROR(INDEX('Raw Data'!$E$2:$E$501,MATCH('Raw Data'!D27,'Raw Data'!$D$2:$D$501,0)),"Unknown Customer"),'Raw Data'!E27)</f>
        <v>Kimberly Myers</v>
      </c>
      <c r="D27" s="2" t="str">
        <f aca="false">PROPER(TRIM('Raw Data'!G27))</f>
        <v>Charlotte</v>
      </c>
      <c r="E27" s="2" t="n">
        <f aca="false">ROUND(VALUE(SUBSTITUTE(TRIM('Raw Data'!M27),"$","")),2)</f>
        <v>2583.28</v>
      </c>
      <c r="F27" s="2" t="n">
        <f aca="false">IF('Raw Data'!O27="",0,'Raw Data'!O27)</f>
        <v>0.4</v>
      </c>
      <c r="G27" s="2" t="n">
        <f aca="false">ROUND('Raw Data'!P27,2)</f>
        <v>-642.87</v>
      </c>
      <c r="H27" s="2" t="str">
        <f aca="false">IF('Raw Data'!S27="","Medium",'Raw Data'!S27)</f>
        <v>Medium</v>
      </c>
      <c r="I27" s="2" t="str">
        <f aca="false">IF(E27&lt;100,"Small",IF(E27&lt;500,"Medium",IF(E27&lt;1500,"Large","Very Large")))</f>
        <v>Very Large</v>
      </c>
    </row>
    <row r="28" customFormat="false" ht="15" hidden="false" customHeight="false" outlineLevel="0" collapsed="false">
      <c r="A28" s="2" t="str">
        <f aca="false">'Raw Data'!A28</f>
        <v>ORD-15779</v>
      </c>
      <c r="B28" s="3" t="n">
        <f aca="false">IFERROR(DATEVALUE('Raw Data'!B28),"Check Format")</f>
        <v>45283</v>
      </c>
      <c r="C28" s="2" t="str">
        <f aca="false">IF('Raw Data'!E28="",IFERROR(INDEX('Raw Data'!$E$2:$E$501,MATCH('Raw Data'!D28,'Raw Data'!$D$2:$D$501,0)),"Unknown Customer"),'Raw Data'!E28)</f>
        <v>John Anderson</v>
      </c>
      <c r="D28" s="2" t="str">
        <f aca="false">PROPER(TRIM('Raw Data'!G28))</f>
        <v>Las Vegas</v>
      </c>
      <c r="E28" s="2" t="n">
        <f aca="false">ROUND(VALUE(SUBSTITUTE(TRIM('Raw Data'!M28),"$","")),2)</f>
        <v>5774.86</v>
      </c>
      <c r="F28" s="2" t="n">
        <f aca="false">IF('Raw Data'!O28="",0,'Raw Data'!O28)</f>
        <v>0</v>
      </c>
      <c r="G28" s="2" t="n">
        <f aca="false">ROUND('Raw Data'!P28,2)</f>
        <v>1300.2</v>
      </c>
      <c r="H28" s="2" t="str">
        <f aca="false">IF('Raw Data'!S28="","Medium",'Raw Data'!S28)</f>
        <v>Critical</v>
      </c>
      <c r="I28" s="2" t="str">
        <f aca="false">IF(E28&lt;100,"Small",IF(E28&lt;500,"Medium",IF(E28&lt;1500,"Large","Very Large")))</f>
        <v>Very Large</v>
      </c>
    </row>
    <row r="29" customFormat="false" ht="15" hidden="false" customHeight="false" outlineLevel="0" collapsed="false">
      <c r="A29" s="2" t="str">
        <f aca="false">'Raw Data'!A29</f>
        <v>ORD-4547</v>
      </c>
      <c r="B29" s="3" t="n">
        <f aca="false">IFERROR(DATEVALUE('Raw Data'!B29),"Check Format")</f>
        <v>45444</v>
      </c>
      <c r="C29" s="2" t="str">
        <f aca="false">IF('Raw Data'!E29="",IFERROR(INDEX('Raw Data'!$E$2:$E$501,MATCH('Raw Data'!D29,'Raw Data'!$D$2:$D$501,0)),"Unknown Customer"),'Raw Data'!E29)</f>
        <v>Heather Bowers</v>
      </c>
      <c r="D29" s="2" t="str">
        <f aca="false">PROPER(TRIM('Raw Data'!G29))</f>
        <v>Pittsburgh</v>
      </c>
      <c r="E29" s="2" t="n">
        <f aca="false">ROUND(VALUE(SUBSTITUTE(TRIM('Raw Data'!M29),"$","")),2)</f>
        <v>2661.12</v>
      </c>
      <c r="F29" s="2" t="n">
        <f aca="false">IF('Raw Data'!O29="",0,'Raw Data'!O29)</f>
        <v>0.1</v>
      </c>
      <c r="G29" s="2" t="n">
        <f aca="false">ROUND('Raw Data'!P29,2)</f>
        <v>155.03</v>
      </c>
      <c r="H29" s="2" t="str">
        <f aca="false">IF('Raw Data'!S29="","Medium",'Raw Data'!S29)</f>
        <v>Low</v>
      </c>
      <c r="I29" s="2" t="str">
        <f aca="false">IF(E29&lt;100,"Small",IF(E29&lt;500,"Medium",IF(E29&lt;1500,"Large","Very Large")))</f>
        <v>Very Large</v>
      </c>
    </row>
    <row r="30" customFormat="false" ht="15" hidden="false" customHeight="false" outlineLevel="0" collapsed="false">
      <c r="A30" s="2" t="str">
        <f aca="false">'Raw Data'!A30</f>
        <v>ORD-17539</v>
      </c>
      <c r="B30" s="3" t="n">
        <f aca="false">IFERROR(DATEVALUE('Raw Data'!B30),"Check Format")</f>
        <v>45497</v>
      </c>
      <c r="C30" s="2" t="str">
        <f aca="false">IF('Raw Data'!E30="",IFERROR(INDEX('Raw Data'!$E$2:$E$501,MATCH('Raw Data'!D30,'Raw Data'!$D$2:$D$501,0)),"Unknown Customer"),'Raw Data'!E30)</f>
        <v>Gabrielle Davis</v>
      </c>
      <c r="D30" s="2" t="str">
        <f aca="false">PROPER(TRIM('Raw Data'!G30))</f>
        <v>Pittsburgh</v>
      </c>
      <c r="E30" s="2" t="n">
        <f aca="false">ROUND(VALUE(SUBSTITUTE(TRIM('Raw Data'!M30),"$","")),2)</f>
        <v>1188.26</v>
      </c>
      <c r="F30" s="2" t="n">
        <f aca="false">IF('Raw Data'!O30="",0,'Raw Data'!O30)</f>
        <v>0.4</v>
      </c>
      <c r="G30" s="2" t="n">
        <f aca="false">ROUND('Raw Data'!P30,2)</f>
        <v>-135.85</v>
      </c>
      <c r="H30" s="2" t="str">
        <f aca="false">IF('Raw Data'!S30="","Medium",'Raw Data'!S30)</f>
        <v>Low</v>
      </c>
      <c r="I30" s="2" t="str">
        <f aca="false">IF(E30&lt;100,"Small",IF(E30&lt;500,"Medium",IF(E30&lt;1500,"Large","Very Large")))</f>
        <v>Large</v>
      </c>
    </row>
    <row r="31" customFormat="false" ht="15" hidden="false" customHeight="false" outlineLevel="0" collapsed="false">
      <c r="A31" s="2" t="str">
        <f aca="false">'Raw Data'!A31</f>
        <v>ORD-10068</v>
      </c>
      <c r="B31" s="2" t="str">
        <f aca="false">IFERROR(DATEVALUE('Raw Data'!B31),"Check Format")</f>
        <v>Check Format</v>
      </c>
      <c r="C31" s="2" t="str">
        <f aca="false">IF('Raw Data'!E31="",IFERROR(INDEX('Raw Data'!$E$2:$E$501,MATCH('Raw Data'!D31,'Raw Data'!$D$2:$D$501,0)),"Unknown Customer"),'Raw Data'!E31)</f>
        <v>Dana Chapman</v>
      </c>
      <c r="D31" s="2" t="str">
        <f aca="false">PROPER(TRIM('Raw Data'!G31))</f>
        <v>Baton Rouge</v>
      </c>
      <c r="E31" s="2" t="n">
        <f aca="false">ROUND(VALUE(SUBSTITUTE(TRIM('Raw Data'!M31),"$","")),2)</f>
        <v>253.76</v>
      </c>
      <c r="F31" s="2" t="n">
        <f aca="false">IF('Raw Data'!O31="",0,'Raw Data'!O31)</f>
        <v>0</v>
      </c>
      <c r="G31" s="2" t="n">
        <f aca="false">ROUND('Raw Data'!P31,2)</f>
        <v>101.19</v>
      </c>
      <c r="H31" s="2" t="str">
        <f aca="false">IF('Raw Data'!S31="","Medium",'Raw Data'!S31)</f>
        <v>Medium</v>
      </c>
      <c r="I31" s="2" t="str">
        <f aca="false">IF(E31&lt;100,"Small",IF(E31&lt;500,"Medium",IF(E31&lt;1500,"Large","Very Large")))</f>
        <v>Medium</v>
      </c>
    </row>
    <row r="32" customFormat="false" ht="15" hidden="false" customHeight="false" outlineLevel="0" collapsed="false">
      <c r="A32" s="2" t="str">
        <f aca="false">'Raw Data'!A32</f>
        <v>ORD-8173</v>
      </c>
      <c r="B32" s="3" t="n">
        <f aca="false">IFERROR(DATEVALUE('Raw Data'!B32),"Check Format")</f>
        <v>46205</v>
      </c>
      <c r="C32" s="2" t="str">
        <f aca="false">IF('Raw Data'!E32="",IFERROR(INDEX('Raw Data'!$E$2:$E$501,MATCH('Raw Data'!D32,'Raw Data'!$D$2:$D$501,0)),"Unknown Customer"),'Raw Data'!E32)</f>
        <v>David Davenport</v>
      </c>
      <c r="D32" s="2" t="str">
        <f aca="false">PROPER(TRIM('Raw Data'!G32))</f>
        <v>Austin</v>
      </c>
      <c r="E32" s="2" t="n">
        <f aca="false">ROUND(VALUE(SUBSTITUTE(TRIM('Raw Data'!M32),"$","")),2)</f>
        <v>1516.88</v>
      </c>
      <c r="F32" s="2" t="n">
        <f aca="false">IF('Raw Data'!O32="",0,'Raw Data'!O32)</f>
        <v>0</v>
      </c>
      <c r="G32" s="2" t="n">
        <f aca="false">ROUND('Raw Data'!P32,2)</f>
        <v>576.56</v>
      </c>
      <c r="H32" s="2" t="str">
        <f aca="false">IF('Raw Data'!S32="","Medium",'Raw Data'!S32)</f>
        <v>Low</v>
      </c>
      <c r="I32" s="2" t="str">
        <f aca="false">IF(E32&lt;100,"Small",IF(E32&lt;500,"Medium",IF(E32&lt;1500,"Large","Very Large")))</f>
        <v>Very Large</v>
      </c>
    </row>
    <row r="33" customFormat="false" ht="15" hidden="false" customHeight="false" outlineLevel="0" collapsed="false">
      <c r="A33" s="2" t="str">
        <f aca="false">'Raw Data'!A33</f>
        <v>ORD-7264</v>
      </c>
      <c r="B33" s="3" t="n">
        <f aca="false">IFERROR(DATEVALUE('Raw Data'!B33),"Check Format")</f>
        <v>45881</v>
      </c>
      <c r="C33" s="2" t="str">
        <f aca="false">IF('Raw Data'!E33="",IFERROR(INDEX('Raw Data'!$E$2:$E$501,MATCH('Raw Data'!D33,'Raw Data'!$D$2:$D$501,0)),"Unknown Customer"),'Raw Data'!E33)</f>
        <v>Amanda Guzman</v>
      </c>
      <c r="D33" s="2" t="str">
        <f aca="false">PROPER(TRIM('Raw Data'!G33))</f>
        <v>Savannah</v>
      </c>
      <c r="E33" s="2" t="n">
        <f aca="false">ROUND(VALUE(SUBSTITUTE(TRIM('Raw Data'!M33),"$","")),2)</f>
        <v>2208.4</v>
      </c>
      <c r="F33" s="2" t="n">
        <f aca="false">IF('Raw Data'!O33="",0,'Raw Data'!O33)</f>
        <v>0.4</v>
      </c>
      <c r="G33" s="2" t="n">
        <f aca="false">ROUND('Raw Data'!P33,2)</f>
        <v>0</v>
      </c>
      <c r="H33" s="2" t="str">
        <f aca="false">IF('Raw Data'!S33="","Medium",'Raw Data'!S33)</f>
        <v>High</v>
      </c>
      <c r="I33" s="2" t="str">
        <f aca="false">IF(E33&lt;100,"Small",IF(E33&lt;500,"Medium",IF(E33&lt;1500,"Large","Very Large")))</f>
        <v>Very Large</v>
      </c>
    </row>
    <row r="34" customFormat="false" ht="15" hidden="false" customHeight="false" outlineLevel="0" collapsed="false">
      <c r="A34" s="2" t="str">
        <f aca="false">'Raw Data'!A34</f>
        <v>ORD-17402</v>
      </c>
      <c r="B34" s="3" t="n">
        <f aca="false">IFERROR(DATEVALUE('Raw Data'!B34),"Check Format")</f>
        <v>46113</v>
      </c>
      <c r="C34" s="2" t="str">
        <f aca="false">IF('Raw Data'!E34="",IFERROR(INDEX('Raw Data'!$E$2:$E$501,MATCH('Raw Data'!D34,'Raw Data'!$D$2:$D$501,0)),"Unknown Customer"),'Raw Data'!E34)</f>
        <v>Julia Torres</v>
      </c>
      <c r="D34" s="2" t="str">
        <f aca="false">PROPER(TRIM('Raw Data'!G34))</f>
        <v>Louisville</v>
      </c>
      <c r="E34" s="2" t="n">
        <f aca="false">ROUND(VALUE(SUBSTITUTE(TRIM('Raw Data'!M34),"$","")),2)</f>
        <v>47.08</v>
      </c>
      <c r="F34" s="2" t="n">
        <f aca="false">IF('Raw Data'!O34="",0,'Raw Data'!O34)</f>
        <v>0.15</v>
      </c>
      <c r="G34" s="2" t="n">
        <f aca="false">ROUND('Raw Data'!P34,2)</f>
        <v>11.63</v>
      </c>
      <c r="H34" s="2" t="str">
        <f aca="false">IF('Raw Data'!S34="","Medium",'Raw Data'!S34)</f>
        <v>Medium</v>
      </c>
      <c r="I34" s="2" t="str">
        <f aca="false">IF(E34&lt;100,"Small",IF(E34&lt;500,"Medium",IF(E34&lt;1500,"Large","Very Large")))</f>
        <v>Small</v>
      </c>
    </row>
    <row r="35" customFormat="false" ht="15" hidden="false" customHeight="false" outlineLevel="0" collapsed="false">
      <c r="A35" s="2" t="str">
        <f aca="false">'Raw Data'!A35</f>
        <v>ORD-9978</v>
      </c>
      <c r="B35" s="2" t="str">
        <f aca="false">IFERROR(DATEVALUE('Raw Data'!B35),"Check Format")</f>
        <v>Check Format</v>
      </c>
      <c r="C35" s="2" t="str">
        <f aca="false">IF('Raw Data'!E35="",IFERROR(INDEX('Raw Data'!$E$2:$E$501,MATCH('Raw Data'!D35,'Raw Data'!$D$2:$D$501,0)),"Unknown Customer"),'Raw Data'!E35)</f>
        <v>Kathryn Williams</v>
      </c>
      <c r="D35" s="2" t="str">
        <f aca="false">PROPER(TRIM('Raw Data'!G35))</f>
        <v>Jersey City</v>
      </c>
      <c r="E35" s="2" t="n">
        <f aca="false">ROUND(VALUE(SUBSTITUTE(TRIM('Raw Data'!M35),"$","")),2)</f>
        <v>1969.28</v>
      </c>
      <c r="F35" s="2" t="n">
        <f aca="false">IF('Raw Data'!O35="",0,'Raw Data'!O35)</f>
        <v>0.15</v>
      </c>
      <c r="G35" s="2" t="n">
        <f aca="false">ROUND('Raw Data'!P35,2)</f>
        <v>513.27</v>
      </c>
      <c r="H35" s="2" t="str">
        <f aca="false">IF('Raw Data'!S35="","Medium",'Raw Data'!S35)</f>
        <v>Critical</v>
      </c>
      <c r="I35" s="2" t="str">
        <f aca="false">IF(E35&lt;100,"Small",IF(E35&lt;500,"Medium",IF(E35&lt;1500,"Large","Very Large")))</f>
        <v>Very Large</v>
      </c>
    </row>
    <row r="36" customFormat="false" ht="15" hidden="false" customHeight="false" outlineLevel="0" collapsed="false">
      <c r="A36" s="2" t="str">
        <f aca="false">'Raw Data'!A36</f>
        <v>ORD-11153</v>
      </c>
      <c r="B36" s="3" t="n">
        <f aca="false">IFERROR(DATEVALUE('Raw Data'!B36),"Check Format")</f>
        <v>45963</v>
      </c>
      <c r="C36" s="2" t="str">
        <f aca="false">IF('Raw Data'!E36="",IFERROR(INDEX('Raw Data'!$E$2:$E$501,MATCH('Raw Data'!D36,'Raw Data'!$D$2:$D$501,0)),"Unknown Customer"),'Raw Data'!E36)</f>
        <v>Bianca Wood</v>
      </c>
      <c r="D36" s="2" t="str">
        <f aca="false">PROPER(TRIM('Raw Data'!G36))</f>
        <v>Columbus</v>
      </c>
      <c r="E36" s="2" t="n">
        <f aca="false">ROUND(VALUE(SUBSTITUTE(TRIM('Raw Data'!M36),"$","")),2)</f>
        <v>764.4</v>
      </c>
      <c r="F36" s="2" t="n">
        <f aca="false">IF('Raw Data'!O36="",0,'Raw Data'!O36)</f>
        <v>0.5</v>
      </c>
      <c r="G36" s="2" t="n">
        <f aca="false">ROUND('Raw Data'!P36,2)</f>
        <v>-60.56</v>
      </c>
      <c r="H36" s="2" t="str">
        <f aca="false">IF('Raw Data'!S36="","Medium",'Raw Data'!S36)</f>
        <v>Low</v>
      </c>
      <c r="I36" s="2" t="str">
        <f aca="false">IF(E36&lt;100,"Small",IF(E36&lt;500,"Medium",IF(E36&lt;1500,"Large","Very Large")))</f>
        <v>Large</v>
      </c>
    </row>
    <row r="37" customFormat="false" ht="15" hidden="false" customHeight="false" outlineLevel="0" collapsed="false">
      <c r="A37" s="2" t="str">
        <f aca="false">'Raw Data'!A37</f>
        <v>ORD-17764</v>
      </c>
      <c r="B37" s="2" t="str">
        <f aca="false">IFERROR(DATEVALUE('Raw Data'!B37),"Check Format")</f>
        <v>Check Format</v>
      </c>
      <c r="C37" s="2" t="str">
        <f aca="false">IF('Raw Data'!E37="",IFERROR(INDEX('Raw Data'!$E$2:$E$501,MATCH('Raw Data'!D37,'Raw Data'!$D$2:$D$501,0)),"Unknown Customer"),'Raw Data'!E37)</f>
        <v>Patricia Ray</v>
      </c>
      <c r="D37" s="2" t="str">
        <f aca="false">PROPER(TRIM('Raw Data'!G37))</f>
        <v>Lexington</v>
      </c>
      <c r="E37" s="2" t="n">
        <f aca="false">ROUND(VALUE(SUBSTITUTE(TRIM('Raw Data'!M37),"$","")),2)</f>
        <v>69</v>
      </c>
      <c r="F37" s="2" t="n">
        <f aca="false">IF('Raw Data'!O37="",0,'Raw Data'!O37)</f>
        <v>0</v>
      </c>
      <c r="G37" s="2" t="n">
        <f aca="false">ROUND('Raw Data'!P37,2)</f>
        <v>10.69</v>
      </c>
      <c r="H37" s="2" t="str">
        <f aca="false">IF('Raw Data'!S37="","Medium",'Raw Data'!S37)</f>
        <v>Low</v>
      </c>
      <c r="I37" s="2" t="str">
        <f aca="false">IF(E37&lt;100,"Small",IF(E37&lt;500,"Medium",IF(E37&lt;1500,"Large","Very Large")))</f>
        <v>Small</v>
      </c>
    </row>
    <row r="38" customFormat="false" ht="15" hidden="false" customHeight="false" outlineLevel="0" collapsed="false">
      <c r="A38" s="2" t="str">
        <f aca="false">'Raw Data'!A38</f>
        <v>ORD-5157</v>
      </c>
      <c r="B38" s="3" t="n">
        <f aca="false">IFERROR(DATEVALUE('Raw Data'!B38),"Check Format")</f>
        <v>45353</v>
      </c>
      <c r="C38" s="2" t="str">
        <f aca="false">IF('Raw Data'!E38="",IFERROR(INDEX('Raw Data'!$E$2:$E$501,MATCH('Raw Data'!D38,'Raw Data'!$D$2:$D$501,0)),"Unknown Customer"),'Raw Data'!E38)</f>
        <v>Timothy Andrews</v>
      </c>
      <c r="D38" s="2" t="str">
        <f aca="false">PROPER(TRIM('Raw Data'!G38))</f>
        <v>Tacoma</v>
      </c>
      <c r="E38" s="2" t="n">
        <f aca="false">ROUND(VALUE(SUBSTITUTE(TRIM('Raw Data'!M38),"$","")),2)</f>
        <v>564.12</v>
      </c>
      <c r="F38" s="2" t="n">
        <f aca="false">IF('Raw Data'!O38="",0,'Raw Data'!O38)</f>
        <v>0.2</v>
      </c>
      <c r="G38" s="2" t="n">
        <f aca="false">ROUND('Raw Data'!P38,2)</f>
        <v>60.1</v>
      </c>
      <c r="H38" s="2" t="str">
        <f aca="false">IF('Raw Data'!S38="","Medium",'Raw Data'!S38)</f>
        <v>High</v>
      </c>
      <c r="I38" s="2" t="str">
        <f aca="false">IF(E38&lt;100,"Small",IF(E38&lt;500,"Medium",IF(E38&lt;1500,"Large","Very Large")))</f>
        <v>Large</v>
      </c>
    </row>
    <row r="39" customFormat="false" ht="15" hidden="false" customHeight="false" outlineLevel="0" collapsed="false">
      <c r="A39" s="2" t="str">
        <f aca="false">'Raw Data'!A39</f>
        <v>ORD-3693</v>
      </c>
      <c r="B39" s="3" t="n">
        <f aca="false">IFERROR(DATEVALUE('Raw Data'!B39),"Check Format")</f>
        <v>45880</v>
      </c>
      <c r="C39" s="2" t="str">
        <f aca="false">IF('Raw Data'!E39="",IFERROR(INDEX('Raw Data'!$E$2:$E$501,MATCH('Raw Data'!D39,'Raw Data'!$D$2:$D$501,0)),"Unknown Customer"),'Raw Data'!E39)</f>
        <v>Aaron Miller</v>
      </c>
      <c r="D39" s="2" t="str">
        <f aca="false">PROPER(TRIM('Raw Data'!G39))</f>
        <v>Ann Arbor</v>
      </c>
      <c r="E39" s="2" t="n">
        <f aca="false">ROUND(VALUE(SUBSTITUTE(TRIM('Raw Data'!M39),"$","")),2)</f>
        <v>3102.93</v>
      </c>
      <c r="F39" s="2" t="n">
        <f aca="false">IF('Raw Data'!O39="",0,'Raw Data'!O39)</f>
        <v>0.15</v>
      </c>
      <c r="G39" s="2" t="n">
        <f aca="false">ROUND('Raw Data'!P39,2)</f>
        <v>681.77</v>
      </c>
      <c r="H39" s="2" t="str">
        <f aca="false">IF('Raw Data'!S39="","Medium",'Raw Data'!S39)</f>
        <v>Medium</v>
      </c>
      <c r="I39" s="2" t="str">
        <f aca="false">IF(E39&lt;100,"Small",IF(E39&lt;500,"Medium",IF(E39&lt;1500,"Large","Very Large")))</f>
        <v>Very Large</v>
      </c>
    </row>
    <row r="40" customFormat="false" ht="15" hidden="false" customHeight="false" outlineLevel="0" collapsed="false">
      <c r="A40" s="2" t="str">
        <f aca="false">'Raw Data'!A40</f>
        <v>ORD-16483</v>
      </c>
      <c r="B40" s="3" t="n">
        <f aca="false">IFERROR(DATEVALUE('Raw Data'!B40),"Check Format")</f>
        <v>45565</v>
      </c>
      <c r="C40" s="2" t="str">
        <f aca="false">IF('Raw Data'!E40="",IFERROR(INDEX('Raw Data'!$E$2:$E$501,MATCH('Raw Data'!D40,'Raw Data'!$D$2:$D$501,0)),"Unknown Customer"),'Raw Data'!E40)</f>
        <v>Larry Harris</v>
      </c>
      <c r="D40" s="2" t="str">
        <f aca="false">PROPER(TRIM('Raw Data'!G40))</f>
        <v>Savannah</v>
      </c>
      <c r="E40" s="2" t="n">
        <f aca="false">ROUND(VALUE(SUBSTITUTE(TRIM('Raw Data'!M40),"$","")),2)</f>
        <v>1843.87</v>
      </c>
      <c r="F40" s="2" t="n">
        <f aca="false">IF('Raw Data'!O40="",0,'Raw Data'!O40)</f>
        <v>0.2</v>
      </c>
      <c r="G40" s="2" t="n">
        <f aca="false">ROUND('Raw Data'!P40,2)</f>
        <v>149.62</v>
      </c>
      <c r="H40" s="2" t="str">
        <f aca="false">IF('Raw Data'!S40="","Medium",'Raw Data'!S40)</f>
        <v>Medium</v>
      </c>
      <c r="I40" s="2" t="str">
        <f aca="false">IF(E40&lt;100,"Small",IF(E40&lt;500,"Medium",IF(E40&lt;1500,"Large","Very Large")))</f>
        <v>Very Large</v>
      </c>
    </row>
    <row r="41" customFormat="false" ht="15" hidden="false" customHeight="false" outlineLevel="0" collapsed="false">
      <c r="A41" s="2" t="str">
        <f aca="false">'Raw Data'!A41</f>
        <v>ORD-3153</v>
      </c>
      <c r="B41" s="3" t="n">
        <f aca="false">IFERROR(DATEVALUE('Raw Data'!B41),"Check Format")</f>
        <v>45931</v>
      </c>
      <c r="C41" s="2" t="str">
        <f aca="false">IF('Raw Data'!E41="",IFERROR(INDEX('Raw Data'!$E$2:$E$501,MATCH('Raw Data'!D41,'Raw Data'!$D$2:$D$501,0)),"Unknown Customer"),'Raw Data'!E41)</f>
        <v>Keith Jennings</v>
      </c>
      <c r="D41" s="2" t="str">
        <f aca="false">PROPER(TRIM('Raw Data'!G41))</f>
        <v>Worcester</v>
      </c>
      <c r="E41" s="2" t="n">
        <f aca="false">ROUND(VALUE(SUBSTITUTE(TRIM('Raw Data'!M41),"$","")),2)</f>
        <v>48.7</v>
      </c>
      <c r="F41" s="2" t="n">
        <f aca="false">IF('Raw Data'!O41="",0,'Raw Data'!O41)</f>
        <v>0.15</v>
      </c>
      <c r="G41" s="2" t="n">
        <f aca="false">ROUND('Raw Data'!P41,2)</f>
        <v>6.53</v>
      </c>
      <c r="H41" s="2" t="str">
        <f aca="false">IF('Raw Data'!S41="","Medium",'Raw Data'!S41)</f>
        <v>Medium</v>
      </c>
      <c r="I41" s="2" t="str">
        <f aca="false">IF(E41&lt;100,"Small",IF(E41&lt;500,"Medium",IF(E41&lt;1500,"Large","Very Large")))</f>
        <v>Small</v>
      </c>
    </row>
    <row r="42" customFormat="false" ht="15" hidden="false" customHeight="false" outlineLevel="0" collapsed="false">
      <c r="A42" s="2" t="str">
        <f aca="false">'Raw Data'!A42</f>
        <v>ORD-18178</v>
      </c>
      <c r="B42" s="3" t="n">
        <f aca="false">IFERROR(DATEVALUE('Raw Data'!B42),"Check Format")</f>
        <v>45397</v>
      </c>
      <c r="C42" s="2" t="str">
        <f aca="false">IF('Raw Data'!E42="",IFERROR(INDEX('Raw Data'!$E$2:$E$501,MATCH('Raw Data'!D42,'Raw Data'!$D$2:$D$501,0)),"Unknown Customer"),'Raw Data'!E42)</f>
        <v>Paul Jones</v>
      </c>
      <c r="D42" s="2" t="str">
        <f aca="false">PROPER(TRIM('Raw Data'!G42))</f>
        <v>Kansas City</v>
      </c>
      <c r="E42" s="2" t="n">
        <f aca="false">ROUND(VALUE(SUBSTITUTE(TRIM('Raw Data'!M42),"$","")),2)</f>
        <v>6182.82</v>
      </c>
      <c r="F42" s="2" t="n">
        <f aca="false">IF('Raw Data'!O42="",0,'Raw Data'!O42)</f>
        <v>0.3</v>
      </c>
      <c r="G42" s="2" t="n">
        <f aca="false">ROUND('Raw Data'!P42,2)</f>
        <v>-98.04</v>
      </c>
      <c r="H42" s="2" t="str">
        <f aca="false">IF('Raw Data'!S42="","Medium",'Raw Data'!S42)</f>
        <v>Low</v>
      </c>
      <c r="I42" s="2" t="str">
        <f aca="false">IF(E42&lt;100,"Small",IF(E42&lt;500,"Medium",IF(E42&lt;1500,"Large","Very Large")))</f>
        <v>Very Large</v>
      </c>
    </row>
    <row r="43" customFormat="false" ht="15" hidden="false" customHeight="false" outlineLevel="0" collapsed="false">
      <c r="A43" s="2" t="str">
        <f aca="false">'Raw Data'!A43</f>
        <v>ORD-3758</v>
      </c>
      <c r="B43" s="2" t="str">
        <f aca="false">IFERROR(DATEVALUE('Raw Data'!B43),"Check Format")</f>
        <v>Check Format</v>
      </c>
      <c r="C43" s="2" t="str">
        <f aca="false">IF('Raw Data'!E43="",IFERROR(INDEX('Raw Data'!$E$2:$E$501,MATCH('Raw Data'!D43,'Raw Data'!$D$2:$D$501,0)),"Unknown Customer"),'Raw Data'!E43)</f>
        <v>Michael Brown</v>
      </c>
      <c r="D43" s="2" t="str">
        <f aca="false">PROPER(TRIM('Raw Data'!G43))</f>
        <v>Seattle</v>
      </c>
      <c r="E43" s="2" t="n">
        <f aca="false">ROUND(VALUE(SUBSTITUTE(TRIM('Raw Data'!M43),"$","")),2)</f>
        <v>312.56</v>
      </c>
      <c r="F43" s="2" t="n">
        <f aca="false">IF('Raw Data'!O43="",0,'Raw Data'!O43)</f>
        <v>0</v>
      </c>
      <c r="G43" s="2" t="n">
        <f aca="false">ROUND('Raw Data'!P43,2)</f>
        <v>105.73</v>
      </c>
      <c r="H43" s="2" t="str">
        <f aca="false">IF('Raw Data'!S43="","Medium",'Raw Data'!S43)</f>
        <v>Critical</v>
      </c>
      <c r="I43" s="2" t="str">
        <f aca="false">IF(E43&lt;100,"Small",IF(E43&lt;500,"Medium",IF(E43&lt;1500,"Large","Very Large")))</f>
        <v>Medium</v>
      </c>
    </row>
    <row r="44" customFormat="false" ht="15" hidden="false" customHeight="false" outlineLevel="0" collapsed="false">
      <c r="A44" s="2" t="str">
        <f aca="false">'Raw Data'!A44</f>
        <v>ORD-8364</v>
      </c>
      <c r="B44" s="3" t="n">
        <f aca="false">IFERROR(DATEVALUE('Raw Data'!B44),"Check Format")</f>
        <v>45225</v>
      </c>
      <c r="C44" s="2" t="str">
        <f aca="false">IF('Raw Data'!E44="",IFERROR(INDEX('Raw Data'!$E$2:$E$501,MATCH('Raw Data'!D44,'Raw Data'!$D$2:$D$501,0)),"Unknown Customer"),'Raw Data'!E44)</f>
        <v>Shannon Green</v>
      </c>
      <c r="D44" s="2" t="str">
        <f aca="false">PROPER(TRIM('Raw Data'!G44))</f>
        <v>Boulder</v>
      </c>
      <c r="E44" s="2" t="n">
        <f aca="false">ROUND(VALUE(SUBSTITUTE(TRIM('Raw Data'!M44),"$","")),2)</f>
        <v>168.14</v>
      </c>
      <c r="F44" s="2" t="n">
        <f aca="false">IF('Raw Data'!O44="",0,'Raw Data'!O44)</f>
        <v>0.3</v>
      </c>
      <c r="G44" s="2" t="n">
        <f aca="false">ROUND('Raw Data'!P44,2)</f>
        <v>-18.73</v>
      </c>
      <c r="H44" s="2" t="str">
        <f aca="false">IF('Raw Data'!S44="","Medium",'Raw Data'!S44)</f>
        <v>Medium</v>
      </c>
      <c r="I44" s="2" t="str">
        <f aca="false">IF(E44&lt;100,"Small",IF(E44&lt;500,"Medium",IF(E44&lt;1500,"Large","Very Large")))</f>
        <v>Medium</v>
      </c>
    </row>
    <row r="45" customFormat="false" ht="15" hidden="false" customHeight="false" outlineLevel="0" collapsed="false">
      <c r="A45" s="2" t="str">
        <f aca="false">'Raw Data'!A45</f>
        <v>ORD-11963</v>
      </c>
      <c r="B45" s="3" t="n">
        <f aca="false">IFERROR(DATEVALUE('Raw Data'!B45),"Check Format")</f>
        <v>46165</v>
      </c>
      <c r="C45" s="2" t="str">
        <f aca="false">IF('Raw Data'!E45="",IFERROR(INDEX('Raw Data'!$E$2:$E$501,MATCH('Raw Data'!D45,'Raw Data'!$D$2:$D$501,0)),"Unknown Customer"),'Raw Data'!E45)</f>
        <v>Jack White</v>
      </c>
      <c r="D45" s="2" t="str">
        <f aca="false">PROPER(TRIM('Raw Data'!G45))</f>
        <v>Norfolk</v>
      </c>
      <c r="E45" s="2" t="n">
        <f aca="false">ROUND(VALUE(SUBSTITUTE(TRIM('Raw Data'!M45),"$","")),2)</f>
        <v>232.05</v>
      </c>
      <c r="F45" s="2" t="n">
        <f aca="false">IF('Raw Data'!O45="",0,'Raw Data'!O45)</f>
        <v>0</v>
      </c>
      <c r="G45" s="2" t="n">
        <f aca="false">ROUND('Raw Data'!P45,2)</f>
        <v>-832.64</v>
      </c>
      <c r="H45" s="2" t="str">
        <f aca="false">IF('Raw Data'!S45="","Medium",'Raw Data'!S45)</f>
        <v>High</v>
      </c>
      <c r="I45" s="2" t="str">
        <f aca="false">IF(E45&lt;100,"Small",IF(E45&lt;500,"Medium",IF(E45&lt;1500,"Large","Very Large")))</f>
        <v>Medium</v>
      </c>
    </row>
    <row r="46" customFormat="false" ht="15" hidden="false" customHeight="false" outlineLevel="0" collapsed="false">
      <c r="A46" s="2" t="str">
        <f aca="false">'Raw Data'!A46</f>
        <v>ORD-9285</v>
      </c>
      <c r="B46" s="2" t="str">
        <f aca="false">IFERROR(DATEVALUE('Raw Data'!B46),"Check Format")</f>
        <v>Check Format</v>
      </c>
      <c r="C46" s="2" t="str">
        <f aca="false">IF('Raw Data'!E46="",IFERROR(INDEX('Raw Data'!$E$2:$E$501,MATCH('Raw Data'!D46,'Raw Data'!$D$2:$D$501,0)),"Unknown Customer"),'Raw Data'!E46)</f>
        <v>Charles Frost</v>
      </c>
      <c r="D46" s="2" t="str">
        <f aca="false">PROPER(TRIM('Raw Data'!G46))</f>
        <v>Lexington</v>
      </c>
      <c r="E46" s="2" t="n">
        <f aca="false">ROUND(VALUE(SUBSTITUTE(TRIM('Raw Data'!M46),"$","")),2)</f>
        <v>1568.82</v>
      </c>
      <c r="F46" s="2" t="n">
        <f aca="false">IF('Raw Data'!O46="",0,'Raw Data'!O46)</f>
        <v>0.15</v>
      </c>
      <c r="G46" s="2" t="n">
        <f aca="false">ROUND('Raw Data'!P46,2)</f>
        <v>179.29</v>
      </c>
      <c r="H46" s="2" t="str">
        <f aca="false">IF('Raw Data'!S46="","Medium",'Raw Data'!S46)</f>
        <v>Low</v>
      </c>
      <c r="I46" s="2" t="str">
        <f aca="false">IF(E46&lt;100,"Small",IF(E46&lt;500,"Medium",IF(E46&lt;1500,"Large","Very Large")))</f>
        <v>Very Large</v>
      </c>
    </row>
    <row r="47" customFormat="false" ht="15" hidden="false" customHeight="false" outlineLevel="0" collapsed="false">
      <c r="A47" s="2" t="str">
        <f aca="false">'Raw Data'!A47</f>
        <v>ORD-12538</v>
      </c>
      <c r="B47" s="3" t="n">
        <f aca="false">IFERROR(DATEVALUE('Raw Data'!B47),"Check Format")</f>
        <v>46127</v>
      </c>
      <c r="C47" s="2" t="str">
        <f aca="false">IF('Raw Data'!E47="",IFERROR(INDEX('Raw Data'!$E$2:$E$501,MATCH('Raw Data'!D47,'Raw Data'!$D$2:$D$501,0)),"Unknown Customer"),'Raw Data'!E47)</f>
        <v>Colleen Wright</v>
      </c>
      <c r="D47" s="2" t="str">
        <f aca="false">PROPER(TRIM('Raw Data'!G47))</f>
        <v>Boston</v>
      </c>
      <c r="E47" s="2" t="n">
        <f aca="false">ROUND(VALUE(SUBSTITUTE(TRIM('Raw Data'!M47),"$","")),2)</f>
        <v>1218.26</v>
      </c>
      <c r="F47" s="2" t="n">
        <f aca="false">IF('Raw Data'!O47="",0,'Raw Data'!O47)</f>
        <v>0.2</v>
      </c>
      <c r="G47" s="2" t="n">
        <f aca="false">ROUND('Raw Data'!P47,2)</f>
        <v>11.28</v>
      </c>
      <c r="H47" s="2" t="str">
        <f aca="false">IF('Raw Data'!S47="","Medium",'Raw Data'!S47)</f>
        <v>High</v>
      </c>
      <c r="I47" s="2" t="str">
        <f aca="false">IF(E47&lt;100,"Small",IF(E47&lt;500,"Medium",IF(E47&lt;1500,"Large","Very Large")))</f>
        <v>Large</v>
      </c>
    </row>
    <row r="48" customFormat="false" ht="15" hidden="false" customHeight="false" outlineLevel="0" collapsed="false">
      <c r="A48" s="2" t="str">
        <f aca="false">'Raw Data'!A48</f>
        <v>ORD-9718</v>
      </c>
      <c r="B48" s="3" t="n">
        <f aca="false">IFERROR(DATEVALUE('Raw Data'!B48),"Check Format")</f>
        <v>46107</v>
      </c>
      <c r="C48" s="2" t="str">
        <f aca="false">IF('Raw Data'!E48="",IFERROR(INDEX('Raw Data'!$E$2:$E$501,MATCH('Raw Data'!D48,'Raw Data'!$D$2:$D$501,0)),"Unknown Customer"),'Raw Data'!E48)</f>
        <v>Daniel Kane</v>
      </c>
      <c r="D48" s="2" t="str">
        <f aca="false">PROPER(TRIM('Raw Data'!G48))</f>
        <v>Raleigh</v>
      </c>
      <c r="E48" s="2" t="n">
        <f aca="false">ROUND(VALUE(SUBSTITUTE(TRIM('Raw Data'!M48),"$","")),2)</f>
        <v>3027.12</v>
      </c>
      <c r="F48" s="2" t="n">
        <f aca="false">IF('Raw Data'!O48="",0,'Raw Data'!O48)</f>
        <v>0.1</v>
      </c>
      <c r="G48" s="2" t="n">
        <f aca="false">ROUND('Raw Data'!P48,2)</f>
        <v>246.71</v>
      </c>
      <c r="H48" s="2" t="str">
        <f aca="false">IF('Raw Data'!S48="","Medium",'Raw Data'!S48)</f>
        <v>Medium</v>
      </c>
      <c r="I48" s="2" t="str">
        <f aca="false">IF(E48&lt;100,"Small",IF(E48&lt;500,"Medium",IF(E48&lt;1500,"Large","Very Large")))</f>
        <v>Very Large</v>
      </c>
    </row>
    <row r="49" customFormat="false" ht="15" hidden="false" customHeight="false" outlineLevel="0" collapsed="false">
      <c r="A49" s="2" t="str">
        <f aca="false">'Raw Data'!A49</f>
        <v>ORD-4685</v>
      </c>
      <c r="B49" s="3" t="n">
        <f aca="false">IFERROR(DATEVALUE('Raw Data'!B49),"Check Format")</f>
        <v>45273</v>
      </c>
      <c r="C49" s="2" t="str">
        <f aca="false">IF('Raw Data'!E49="",IFERROR(INDEX('Raw Data'!$E$2:$E$501,MATCH('Raw Data'!D49,'Raw Data'!$D$2:$D$501,0)),"Unknown Customer"),'Raw Data'!E49)</f>
        <v>Isaiah Avila</v>
      </c>
      <c r="D49" s="2" t="str">
        <f aca="false">PROPER(TRIM('Raw Data'!G49))</f>
        <v>Lexington</v>
      </c>
      <c r="E49" s="2" t="n">
        <f aca="false">ROUND(VALUE(SUBSTITUTE(TRIM('Raw Data'!M49),"$","")),2)</f>
        <v>1413.9</v>
      </c>
      <c r="F49" s="2" t="n">
        <f aca="false">IF('Raw Data'!O49="",0,'Raw Data'!O49)</f>
        <v>0.3</v>
      </c>
      <c r="G49" s="2" t="n">
        <f aca="false">ROUND('Raw Data'!P49,2)</f>
        <v>-120.36</v>
      </c>
      <c r="H49" s="2" t="str">
        <f aca="false">IF('Raw Data'!S49="","Medium",'Raw Data'!S49)</f>
        <v>Critical</v>
      </c>
      <c r="I49" s="2" t="str">
        <f aca="false">IF(E49&lt;100,"Small",IF(E49&lt;500,"Medium",IF(E49&lt;1500,"Large","Very Large")))</f>
        <v>Large</v>
      </c>
    </row>
    <row r="50" customFormat="false" ht="15" hidden="false" customHeight="false" outlineLevel="0" collapsed="false">
      <c r="A50" s="2" t="str">
        <f aca="false">'Raw Data'!A50</f>
        <v>ORD-8461</v>
      </c>
      <c r="B50" s="2" t="str">
        <f aca="false">IFERROR(DATEVALUE('Raw Data'!B50),"Check Format")</f>
        <v>Check Format</v>
      </c>
      <c r="C50" s="2" t="str">
        <f aca="false">IF('Raw Data'!E50="",IFERROR(INDEX('Raw Data'!$E$2:$E$501,MATCH('Raw Data'!D50,'Raw Data'!$D$2:$D$501,0)),"Unknown Customer"),'Raw Data'!E50)</f>
        <v>Todd Reynolds</v>
      </c>
      <c r="D50" s="2" t="str">
        <f aca="false">PROPER(TRIM('Raw Data'!G50))</f>
        <v>Denver</v>
      </c>
      <c r="E50" s="2" t="n">
        <f aca="false">ROUND(VALUE(SUBSTITUTE(TRIM('Raw Data'!M50),"$","")),2)</f>
        <v>508.3</v>
      </c>
      <c r="F50" s="2" t="n">
        <f aca="false">IF('Raw Data'!O50="",0,'Raw Data'!O50)</f>
        <v>0</v>
      </c>
      <c r="G50" s="2" t="n">
        <f aca="false">ROUND('Raw Data'!P50,2)</f>
        <v>99.88</v>
      </c>
      <c r="H50" s="2" t="str">
        <f aca="false">IF('Raw Data'!S50="","Medium",'Raw Data'!S50)</f>
        <v>Medium</v>
      </c>
      <c r="I50" s="2" t="str">
        <f aca="false">IF(E50&lt;100,"Small",IF(E50&lt;500,"Medium",IF(E50&lt;1500,"Large","Very Large")))</f>
        <v>Large</v>
      </c>
    </row>
    <row r="51" customFormat="false" ht="15" hidden="false" customHeight="false" outlineLevel="0" collapsed="false">
      <c r="A51" s="2" t="str">
        <f aca="false">'Raw Data'!A51</f>
        <v>ORD-11170</v>
      </c>
      <c r="B51" s="2" t="str">
        <f aca="false">IFERROR(DATEVALUE('Raw Data'!B51),"Check Format")</f>
        <v>Check Format</v>
      </c>
      <c r="C51" s="2" t="str">
        <f aca="false">IF('Raw Data'!E51="",IFERROR(INDEX('Raw Data'!$E$2:$E$501,MATCH('Raw Data'!D51,'Raw Data'!$D$2:$D$501,0)),"Unknown Customer"),'Raw Data'!E51)</f>
        <v>Crystal Mann</v>
      </c>
      <c r="D51" s="2" t="str">
        <f aca="false">PROPER(TRIM('Raw Data'!G51))</f>
        <v>Chicago</v>
      </c>
      <c r="E51" s="2" t="n">
        <f aca="false">ROUND(VALUE(SUBSTITUTE(TRIM('Raw Data'!M51),"$","")),2)</f>
        <v>336.32</v>
      </c>
      <c r="F51" s="2" t="n">
        <f aca="false">IF('Raw Data'!O51="",0,'Raw Data'!O51)</f>
        <v>0</v>
      </c>
      <c r="G51" s="2" t="n">
        <f aca="false">ROUND('Raw Data'!P51,2)</f>
        <v>145.12</v>
      </c>
      <c r="H51" s="2" t="str">
        <f aca="false">IF('Raw Data'!S51="","Medium",'Raw Data'!S51)</f>
        <v>Low</v>
      </c>
      <c r="I51" s="2" t="str">
        <f aca="false">IF(E51&lt;100,"Small",IF(E51&lt;500,"Medium",IF(E51&lt;1500,"Large","Very Large")))</f>
        <v>Medium</v>
      </c>
    </row>
    <row r="52" customFormat="false" ht="15" hidden="false" customHeight="false" outlineLevel="0" collapsed="false">
      <c r="A52" s="2" t="str">
        <f aca="false">'Raw Data'!A52</f>
        <v>ORD-11813</v>
      </c>
      <c r="B52" s="2" t="str">
        <f aca="false">IFERROR(DATEVALUE('Raw Data'!B52),"Check Format")</f>
        <v>Check Format</v>
      </c>
      <c r="C52" s="2" t="str">
        <f aca="false">IF('Raw Data'!E52="",IFERROR(INDEX('Raw Data'!$E$2:$E$501,MATCH('Raw Data'!D52,'Raw Data'!$D$2:$D$501,0)),"Unknown Customer"),'Raw Data'!E52)</f>
        <v>Stephanie Ross</v>
      </c>
      <c r="D52" s="2" t="str">
        <f aca="false">PROPER(TRIM('Raw Data'!G52))</f>
        <v>Philadelphia</v>
      </c>
      <c r="E52" s="2" t="n">
        <f aca="false">ROUND(VALUE(SUBSTITUTE(TRIM('Raw Data'!M52),"$","")),2)</f>
        <v>15.8</v>
      </c>
      <c r="F52" s="2" t="n">
        <f aca="false">IF('Raw Data'!O52="",0,'Raw Data'!O52)</f>
        <v>0.5</v>
      </c>
      <c r="G52" s="2" t="n">
        <f aca="false">ROUND('Raw Data'!P52,2)</f>
        <v>-4.43</v>
      </c>
      <c r="H52" s="2" t="str">
        <f aca="false">IF('Raw Data'!S52="","Medium",'Raw Data'!S52)</f>
        <v>Low</v>
      </c>
      <c r="I52" s="2" t="str">
        <f aca="false">IF(E52&lt;100,"Small",IF(E52&lt;500,"Medium",IF(E52&lt;1500,"Large","Very Large")))</f>
        <v>Small</v>
      </c>
    </row>
    <row r="53" customFormat="false" ht="15" hidden="false" customHeight="false" outlineLevel="0" collapsed="false">
      <c r="A53" s="2" t="str">
        <f aca="false">'Raw Data'!A53</f>
        <v>ORD-6634</v>
      </c>
      <c r="B53" s="2" t="str">
        <f aca="false">IFERROR(DATEVALUE('Raw Data'!B53),"Check Format")</f>
        <v>Check Format</v>
      </c>
      <c r="C53" s="2" t="str">
        <f aca="false">IF('Raw Data'!E53="",IFERROR(INDEX('Raw Data'!$E$2:$E$501,MATCH('Raw Data'!D53,'Raw Data'!$D$2:$D$501,0)),"Unknown Customer"),'Raw Data'!E53)</f>
        <v>Theresa Clark</v>
      </c>
      <c r="D53" s="2" t="str">
        <f aca="false">PROPER(TRIM('Raw Data'!G53))</f>
        <v>Albany</v>
      </c>
      <c r="E53" s="2" t="n">
        <f aca="false">ROUND(VALUE(SUBSTITUTE(TRIM('Raw Data'!M53),"$","")),2)</f>
        <v>3648.8</v>
      </c>
      <c r="F53" s="2" t="n">
        <f aca="false">IF('Raw Data'!O53="",0,'Raw Data'!O53)</f>
        <v>0</v>
      </c>
      <c r="G53" s="2" t="n">
        <f aca="false">ROUND('Raw Data'!P53,2)</f>
        <v>1462.6</v>
      </c>
      <c r="H53" s="2" t="str">
        <f aca="false">IF('Raw Data'!S53="","Medium",'Raw Data'!S53)</f>
        <v>Critical</v>
      </c>
      <c r="I53" s="2" t="str">
        <f aca="false">IF(E53&lt;100,"Small",IF(E53&lt;500,"Medium",IF(E53&lt;1500,"Large","Very Large")))</f>
        <v>Very Large</v>
      </c>
    </row>
    <row r="54" customFormat="false" ht="15" hidden="false" customHeight="false" outlineLevel="0" collapsed="false">
      <c r="A54" s="2" t="str">
        <f aca="false">'Raw Data'!A54</f>
        <v>ORD-3968</v>
      </c>
      <c r="B54" s="3" t="n">
        <f aca="false">IFERROR(DATEVALUE('Raw Data'!B54),"Check Format")</f>
        <v>45456</v>
      </c>
      <c r="C54" s="2" t="str">
        <f aca="false">IF('Raw Data'!E54="",IFERROR(INDEX('Raw Data'!$E$2:$E$501,MATCH('Raw Data'!D54,'Raw Data'!$D$2:$D$501,0)),"Unknown Customer"),'Raw Data'!E54)</f>
        <v>Krista Gibson</v>
      </c>
      <c r="D54" s="2" t="str">
        <f aca="false">PROPER(TRIM('Raw Data'!G54))</f>
        <v>Nashville</v>
      </c>
      <c r="E54" s="2" t="n">
        <f aca="false">ROUND(VALUE(SUBSTITUTE(TRIM('Raw Data'!M54),"$","")),2)</f>
        <v>3498.55</v>
      </c>
      <c r="F54" s="2" t="n">
        <f aca="false">IF('Raw Data'!O54="",0,'Raw Data'!O54)</f>
        <v>0</v>
      </c>
      <c r="G54" s="2" t="n">
        <f aca="false">ROUND('Raw Data'!P54,2)</f>
        <v>802.4</v>
      </c>
      <c r="H54" s="2" t="str">
        <f aca="false">IF('Raw Data'!S54="","Medium",'Raw Data'!S54)</f>
        <v>Critical</v>
      </c>
      <c r="I54" s="2" t="str">
        <f aca="false">IF(E54&lt;100,"Small",IF(E54&lt;500,"Medium",IF(E54&lt;1500,"Large","Very Large")))</f>
        <v>Very Large</v>
      </c>
    </row>
    <row r="55" customFormat="false" ht="15" hidden="false" customHeight="false" outlineLevel="0" collapsed="false">
      <c r="A55" s="2" t="str">
        <f aca="false">'Raw Data'!A55</f>
        <v>ORD-17568</v>
      </c>
      <c r="B55" s="3" t="n">
        <f aca="false">IFERROR(DATEVALUE('Raw Data'!B55),"Check Format")</f>
        <v>45916</v>
      </c>
      <c r="C55" s="2" t="str">
        <f aca="false">IF('Raw Data'!E55="",IFERROR(INDEX('Raw Data'!$E$2:$E$501,MATCH('Raw Data'!D55,'Raw Data'!$D$2:$D$501,0)),"Unknown Customer"),'Raw Data'!E55)</f>
        <v>Kendra Wang DVM</v>
      </c>
      <c r="D55" s="2" t="str">
        <f aca="false">PROPER(TRIM('Raw Data'!G55))</f>
        <v>Los Angeles</v>
      </c>
      <c r="E55" s="2" t="n">
        <f aca="false">ROUND(VALUE(SUBSTITUTE(TRIM('Raw Data'!M55),"$","")),2)</f>
        <v>45.93</v>
      </c>
      <c r="F55" s="2" t="n">
        <f aca="false">IF('Raw Data'!O55="",0,'Raw Data'!O55)</f>
        <v>0.3</v>
      </c>
      <c r="G55" s="2" t="n">
        <f aca="false">ROUND('Raw Data'!P55,2)</f>
        <v>-0.9</v>
      </c>
      <c r="H55" s="2" t="str">
        <f aca="false">IF('Raw Data'!S55="","Medium",'Raw Data'!S55)</f>
        <v>Critical</v>
      </c>
      <c r="I55" s="2" t="str">
        <f aca="false">IF(E55&lt;100,"Small",IF(E55&lt;500,"Medium",IF(E55&lt;1500,"Large","Very Large")))</f>
        <v>Small</v>
      </c>
    </row>
    <row r="56" customFormat="false" ht="15" hidden="false" customHeight="false" outlineLevel="0" collapsed="false">
      <c r="A56" s="2" t="str">
        <f aca="false">'Raw Data'!A56</f>
        <v>ORD-3540</v>
      </c>
      <c r="B56" s="3" t="n">
        <f aca="false">IFERROR(DATEVALUE('Raw Data'!B56),"Check Format")</f>
        <v>46146</v>
      </c>
      <c r="C56" s="2" t="str">
        <f aca="false">IF('Raw Data'!E56="",IFERROR(INDEX('Raw Data'!$E$2:$E$501,MATCH('Raw Data'!D56,'Raw Data'!$D$2:$D$501,0)),"Unknown Customer"),'Raw Data'!E56)</f>
        <v>Heather Page</v>
      </c>
      <c r="D56" s="2" t="str">
        <f aca="false">PROPER(TRIM('Raw Data'!G56))</f>
        <v>Dallas</v>
      </c>
      <c r="E56" s="2" t="n">
        <f aca="false">ROUND(VALUE(SUBSTITUTE(TRIM('Raw Data'!M56),"$","")),2)</f>
        <v>2216.4</v>
      </c>
      <c r="F56" s="2" t="n">
        <f aca="false">IF('Raw Data'!O56="",0,'Raw Data'!O56)</f>
        <v>0</v>
      </c>
      <c r="G56" s="2" t="n">
        <f aca="false">ROUND('Raw Data'!P56,2)</f>
        <v>445.17</v>
      </c>
      <c r="H56" s="2" t="str">
        <f aca="false">IF('Raw Data'!S56="","Medium",'Raw Data'!S56)</f>
        <v>High</v>
      </c>
      <c r="I56" s="2" t="str">
        <f aca="false">IF(E56&lt;100,"Small",IF(E56&lt;500,"Medium",IF(E56&lt;1500,"Large","Very Large")))</f>
        <v>Very Large</v>
      </c>
    </row>
    <row r="57" customFormat="false" ht="15" hidden="false" customHeight="false" outlineLevel="0" collapsed="false">
      <c r="A57" s="2" t="str">
        <f aca="false">'Raw Data'!A57</f>
        <v>ORD-8887</v>
      </c>
      <c r="B57" s="3" t="n">
        <f aca="false">IFERROR(DATEVALUE('Raw Data'!B57),"Check Format")</f>
        <v>45797</v>
      </c>
      <c r="C57" s="2" t="str">
        <f aca="false">IF('Raw Data'!E57="",IFERROR(INDEX('Raw Data'!$E$2:$E$501,MATCH('Raw Data'!D57,'Raw Data'!$D$2:$D$501,0)),"Unknown Customer"),'Raw Data'!E57)</f>
        <v>Benjamin Reyes</v>
      </c>
      <c r="D57" s="2" t="str">
        <f aca="false">PROPER(TRIM('Raw Data'!G57))</f>
        <v/>
      </c>
      <c r="E57" s="2" t="n">
        <f aca="false">ROUND(VALUE(SUBSTITUTE(TRIM('Raw Data'!M57),"$","")),2)</f>
        <v>1613.8</v>
      </c>
      <c r="F57" s="2" t="n">
        <f aca="false">IF('Raw Data'!O57="",0,'Raw Data'!O57)</f>
        <v>0</v>
      </c>
      <c r="G57" s="2" t="n">
        <f aca="false">ROUND('Raw Data'!P57,2)</f>
        <v>665.56</v>
      </c>
      <c r="H57" s="2" t="str">
        <f aca="false">IF('Raw Data'!S57="","Medium",'Raw Data'!S57)</f>
        <v>Medium</v>
      </c>
      <c r="I57" s="2" t="str">
        <f aca="false">IF(E57&lt;100,"Small",IF(E57&lt;500,"Medium",IF(E57&lt;1500,"Large","Very Large")))</f>
        <v>Very Large</v>
      </c>
    </row>
    <row r="58" customFormat="false" ht="15" hidden="false" customHeight="false" outlineLevel="0" collapsed="false">
      <c r="A58" s="2" t="str">
        <f aca="false">'Raw Data'!A58</f>
        <v>ORD-14306</v>
      </c>
      <c r="B58" s="3" t="n">
        <f aca="false">IFERROR(DATEVALUE('Raw Data'!B58),"Check Format")</f>
        <v>45410</v>
      </c>
      <c r="C58" s="2" t="str">
        <f aca="false">IF('Raw Data'!E58="",IFERROR(INDEX('Raw Data'!$E$2:$E$501,MATCH('Raw Data'!D58,'Raw Data'!$D$2:$D$501,0)),"Unknown Customer"),'Raw Data'!E58)</f>
        <v>Scott Duke</v>
      </c>
      <c r="D58" s="2" t="str">
        <f aca="false">PROPER(TRIM('Raw Data'!G58))</f>
        <v>Memphis</v>
      </c>
      <c r="E58" s="2" t="n">
        <f aca="false">ROUND(VALUE(SUBSTITUTE(TRIM('Raw Data'!M58),"$","")),2)</f>
        <v>1335.24</v>
      </c>
      <c r="F58" s="2" t="n">
        <f aca="false">IF('Raw Data'!O58="",0,'Raw Data'!O58)</f>
        <v>0</v>
      </c>
      <c r="G58" s="2" t="n">
        <f aca="false">ROUND('Raw Data'!P58,2)</f>
        <v>161.92</v>
      </c>
      <c r="H58" s="2" t="str">
        <f aca="false">IF('Raw Data'!S58="","Medium",'Raw Data'!S58)</f>
        <v>Medium</v>
      </c>
      <c r="I58" s="2" t="str">
        <f aca="false">IF(E58&lt;100,"Small",IF(E58&lt;500,"Medium",IF(E58&lt;1500,"Large","Very Large")))</f>
        <v>Large</v>
      </c>
    </row>
    <row r="59" customFormat="false" ht="15" hidden="false" customHeight="false" outlineLevel="0" collapsed="false">
      <c r="A59" s="2" t="str">
        <f aca="false">'Raw Data'!A59</f>
        <v>ORD-17152</v>
      </c>
      <c r="B59" s="3" t="n">
        <f aca="false">IFERROR(DATEVALUE('Raw Data'!B59),"Check Format")</f>
        <v>45394</v>
      </c>
      <c r="C59" s="2" t="str">
        <f aca="false">IF('Raw Data'!E59="",IFERROR(INDEX('Raw Data'!$E$2:$E$501,MATCH('Raw Data'!D59,'Raw Data'!$D$2:$D$501,0)),"Unknown Customer"),'Raw Data'!E59)</f>
        <v>Michael Miller</v>
      </c>
      <c r="D59" s="2" t="str">
        <f aca="false">PROPER(TRIM('Raw Data'!G59))</f>
        <v>Seattle</v>
      </c>
      <c r="E59" s="2" t="n">
        <f aca="false">ROUND(VALUE(SUBSTITUTE(TRIM('Raw Data'!M59),"$","")),2)</f>
        <v>109.17</v>
      </c>
      <c r="F59" s="2" t="n">
        <f aca="false">IF('Raw Data'!O59="",0,'Raw Data'!O59)</f>
        <v>0.15</v>
      </c>
      <c r="G59" s="2" t="n">
        <f aca="false">ROUND('Raw Data'!P59,2)</f>
        <v>7.94</v>
      </c>
      <c r="H59" s="2" t="str">
        <f aca="false">IF('Raw Data'!S59="","Medium",'Raw Data'!S59)</f>
        <v>Critical</v>
      </c>
      <c r="I59" s="2" t="str">
        <f aca="false">IF(E59&lt;100,"Small",IF(E59&lt;500,"Medium",IF(E59&lt;1500,"Large","Very Large")))</f>
        <v>Medium</v>
      </c>
    </row>
    <row r="60" customFormat="false" ht="15" hidden="false" customHeight="false" outlineLevel="0" collapsed="false">
      <c r="A60" s="2" t="str">
        <f aca="false">'Raw Data'!A60</f>
        <v>ORD-8253</v>
      </c>
      <c r="B60" s="3" t="n">
        <f aca="false">IFERROR(DATEVALUE('Raw Data'!B60),"Check Format")</f>
        <v>45137</v>
      </c>
      <c r="C60" s="2" t="str">
        <f aca="false">IF('Raw Data'!E60="",IFERROR(INDEX('Raw Data'!$E$2:$E$501,MATCH('Raw Data'!D60,'Raw Data'!$D$2:$D$501,0)),"Unknown Customer"),'Raw Data'!E60)</f>
        <v>Spencer Haynes</v>
      </c>
      <c r="D60" s="2" t="str">
        <f aca="false">PROPER(TRIM('Raw Data'!G60))</f>
        <v>Detroit</v>
      </c>
      <c r="E60" s="2" t="n">
        <f aca="false">ROUND(VALUE(SUBSTITUTE(TRIM('Raw Data'!M60),"$","")),2)</f>
        <v>99.12</v>
      </c>
      <c r="F60" s="2" t="n">
        <f aca="false">IF('Raw Data'!O60="",0,'Raw Data'!O60)</f>
        <v>0.5</v>
      </c>
      <c r="G60" s="2" t="n">
        <f aca="false">ROUND('Raw Data'!P60,2)</f>
        <v>-17.52</v>
      </c>
      <c r="H60" s="2" t="str">
        <f aca="false">IF('Raw Data'!S60="","Medium",'Raw Data'!S60)</f>
        <v>Critical</v>
      </c>
      <c r="I60" s="2" t="str">
        <f aca="false">IF(E60&lt;100,"Small",IF(E60&lt;500,"Medium",IF(E60&lt;1500,"Large","Very Large")))</f>
        <v>Small</v>
      </c>
    </row>
    <row r="61" customFormat="false" ht="15" hidden="false" customHeight="false" outlineLevel="0" collapsed="false">
      <c r="A61" s="2" t="str">
        <f aca="false">'Raw Data'!A61</f>
        <v>ORD-15866</v>
      </c>
      <c r="B61" s="3" t="n">
        <f aca="false">IFERROR(DATEVALUE('Raw Data'!B61),"Check Format")</f>
        <v>45617</v>
      </c>
      <c r="C61" s="2" t="str">
        <f aca="false">IF('Raw Data'!E61="",IFERROR(INDEX('Raw Data'!$E$2:$E$501,MATCH('Raw Data'!D61,'Raw Data'!$D$2:$D$501,0)),"Unknown Customer"),'Raw Data'!E61)</f>
        <v>Edward Stanley</v>
      </c>
      <c r="D61" s="2" t="str">
        <f aca="false">PROPER(TRIM('Raw Data'!G61))</f>
        <v>Raleigh</v>
      </c>
      <c r="E61" s="2" t="n">
        <f aca="false">ROUND(VALUE(SUBSTITUTE(TRIM('Raw Data'!M61),"$","")),2)</f>
        <v>168.85</v>
      </c>
      <c r="F61" s="2" t="n">
        <f aca="false">IF('Raw Data'!O61="",0,'Raw Data'!O61)</f>
        <v>0</v>
      </c>
      <c r="G61" s="2" t="n">
        <f aca="false">ROUND('Raw Data'!P61,2)</f>
        <v>46.62</v>
      </c>
      <c r="H61" s="2" t="str">
        <f aca="false">IF('Raw Data'!S61="","Medium",'Raw Data'!S61)</f>
        <v>High</v>
      </c>
      <c r="I61" s="2" t="str">
        <f aca="false">IF(E61&lt;100,"Small",IF(E61&lt;500,"Medium",IF(E61&lt;1500,"Large","Very Large")))</f>
        <v>Medium</v>
      </c>
    </row>
    <row r="62" customFormat="false" ht="15" hidden="false" customHeight="false" outlineLevel="0" collapsed="false">
      <c r="A62" s="2" t="str">
        <f aca="false">'Raw Data'!A62</f>
        <v>ORD-8927</v>
      </c>
      <c r="B62" s="2" t="str">
        <f aca="false">IFERROR(DATEVALUE('Raw Data'!B62),"Check Format")</f>
        <v>Check Format</v>
      </c>
      <c r="C62" s="2" t="str">
        <f aca="false">IF('Raw Data'!E62="",IFERROR(INDEX('Raw Data'!$E$2:$E$501,MATCH('Raw Data'!D62,'Raw Data'!$D$2:$D$501,0)),"Unknown Customer"),'Raw Data'!E62)</f>
        <v>David Hinton</v>
      </c>
      <c r="D62" s="2" t="str">
        <f aca="false">PROPER(TRIM('Raw Data'!G62))</f>
        <v>Eugene</v>
      </c>
      <c r="E62" s="2" t="n">
        <f aca="false">ROUND(VALUE(SUBSTITUTE(TRIM('Raw Data'!M62),"$","")),2)</f>
        <v>184.4</v>
      </c>
      <c r="F62" s="2" t="n">
        <f aca="false">IF('Raw Data'!O62="",0,'Raw Data'!O62)</f>
        <v>0.2</v>
      </c>
      <c r="G62" s="2" t="n">
        <f aca="false">ROUND('Raw Data'!P62,2)</f>
        <v>10.86</v>
      </c>
      <c r="H62" s="2" t="str">
        <f aca="false">IF('Raw Data'!S62="","Medium",'Raw Data'!S62)</f>
        <v>Medium</v>
      </c>
      <c r="I62" s="2" t="str">
        <f aca="false">IF(E62&lt;100,"Small",IF(E62&lt;500,"Medium",IF(E62&lt;1500,"Large","Very Large")))</f>
        <v>Medium</v>
      </c>
    </row>
    <row r="63" customFormat="false" ht="15" hidden="false" customHeight="false" outlineLevel="0" collapsed="false">
      <c r="A63" s="2" t="str">
        <f aca="false">'Raw Data'!A63</f>
        <v>ORD-13137</v>
      </c>
      <c r="B63" s="3" t="n">
        <f aca="false">IFERROR(DATEVALUE('Raw Data'!B63),"Check Format")</f>
        <v>45398</v>
      </c>
      <c r="C63" s="2" t="str">
        <f aca="false">IF('Raw Data'!E63="",IFERROR(INDEX('Raw Data'!$E$2:$E$501,MATCH('Raw Data'!D63,'Raw Data'!$D$2:$D$501,0)),"Unknown Customer"),'Raw Data'!E63)</f>
        <v>Marie Thompson</v>
      </c>
      <c r="D63" s="2" t="str">
        <f aca="false">PROPER(TRIM('Raw Data'!G63))</f>
        <v>Orlando</v>
      </c>
      <c r="E63" s="2" t="n">
        <f aca="false">ROUND(VALUE(SUBSTITUTE(TRIM('Raw Data'!M63),"$","")),2)</f>
        <v>351</v>
      </c>
      <c r="F63" s="2" t="n">
        <f aca="false">IF('Raw Data'!O63="",0,'Raw Data'!O63)</f>
        <v>0.2</v>
      </c>
      <c r="G63" s="2" t="n">
        <f aca="false">ROUND('Raw Data'!P63,2)</f>
        <v>83.1</v>
      </c>
      <c r="H63" s="2" t="str">
        <f aca="false">IF('Raw Data'!S63="","Medium",'Raw Data'!S63)</f>
        <v>High</v>
      </c>
      <c r="I63" s="2" t="str">
        <f aca="false">IF(E63&lt;100,"Small",IF(E63&lt;500,"Medium",IF(E63&lt;1500,"Large","Very Large")))</f>
        <v>Medium</v>
      </c>
    </row>
    <row r="64" customFormat="false" ht="15" hidden="false" customHeight="false" outlineLevel="0" collapsed="false">
      <c r="A64" s="2" t="str">
        <f aca="false">'Raw Data'!A64</f>
        <v>ORD-15137</v>
      </c>
      <c r="B64" s="2" t="str">
        <f aca="false">IFERROR(DATEVALUE('Raw Data'!B64),"Check Format")</f>
        <v>Check Format</v>
      </c>
      <c r="C64" s="2" t="str">
        <f aca="false">IF('Raw Data'!E64="",IFERROR(INDEX('Raw Data'!$E$2:$E$501,MATCH('Raw Data'!D64,'Raw Data'!$D$2:$D$501,0)),"Unknown Customer"),'Raw Data'!E64)</f>
        <v>Jordan Williams</v>
      </c>
      <c r="D64" s="2" t="str">
        <f aca="false">PROPER(TRIM('Raw Data'!G64))</f>
        <v>Miami</v>
      </c>
      <c r="E64" s="2" t="n">
        <f aca="false">ROUND(VALUE(SUBSTITUTE(TRIM('Raw Data'!M64),"$","")),2)</f>
        <v>27.33</v>
      </c>
      <c r="F64" s="2" t="n">
        <f aca="false">IF('Raw Data'!O64="",0,'Raw Data'!O64)</f>
        <v>0</v>
      </c>
      <c r="G64" s="2" t="n">
        <f aca="false">ROUND('Raw Data'!P64,2)</f>
        <v>8.32</v>
      </c>
      <c r="H64" s="2" t="str">
        <f aca="false">IF('Raw Data'!S64="","Medium",'Raw Data'!S64)</f>
        <v>Critical</v>
      </c>
      <c r="I64" s="2" t="str">
        <f aca="false">IF(E64&lt;100,"Small",IF(E64&lt;500,"Medium",IF(E64&lt;1500,"Large","Very Large")))</f>
        <v>Small</v>
      </c>
    </row>
    <row r="65" customFormat="false" ht="15" hidden="false" customHeight="false" outlineLevel="0" collapsed="false">
      <c r="A65" s="2" t="str">
        <f aca="false">'Raw Data'!A65</f>
        <v>ORD-16268</v>
      </c>
      <c r="B65" s="3" t="n">
        <f aca="false">IFERROR(DATEVALUE('Raw Data'!B65),"Check Format")</f>
        <v>46058</v>
      </c>
      <c r="C65" s="2" t="str">
        <f aca="false">IF('Raw Data'!E65="",IFERROR(INDEX('Raw Data'!$E$2:$E$501,MATCH('Raw Data'!D65,'Raw Data'!$D$2:$D$501,0)),"Unknown Customer"),'Raw Data'!E65)</f>
        <v>Brent Jordan</v>
      </c>
      <c r="D65" s="2" t="str">
        <f aca="false">PROPER(TRIM('Raw Data'!G65))</f>
        <v>Savannah</v>
      </c>
      <c r="E65" s="2" t="n">
        <f aca="false">ROUND(VALUE(SUBSTITUTE(TRIM('Raw Data'!M65),"$","")),2)</f>
        <v>44.91</v>
      </c>
      <c r="F65" s="2" t="n">
        <f aca="false">IF('Raw Data'!O65="",0,'Raw Data'!O65)</f>
        <v>0.3</v>
      </c>
      <c r="G65" s="2" t="n">
        <f aca="false">ROUND('Raw Data'!P65,2)</f>
        <v>-0.26</v>
      </c>
      <c r="H65" s="2" t="str">
        <f aca="false">IF('Raw Data'!S65="","Medium",'Raw Data'!S65)</f>
        <v>Low</v>
      </c>
      <c r="I65" s="2" t="str">
        <f aca="false">IF(E65&lt;100,"Small",IF(E65&lt;500,"Medium",IF(E65&lt;1500,"Large","Very Large")))</f>
        <v>Small</v>
      </c>
    </row>
    <row r="66" customFormat="false" ht="15" hidden="false" customHeight="false" outlineLevel="0" collapsed="false">
      <c r="A66" s="2" t="str">
        <f aca="false">'Raw Data'!A66</f>
        <v>ORD-10575</v>
      </c>
      <c r="B66" s="2" t="str">
        <f aca="false">IFERROR(DATEVALUE('Raw Data'!B66),"Check Format")</f>
        <v>Check Format</v>
      </c>
      <c r="C66" s="2" t="str">
        <f aca="false">IF('Raw Data'!E66="",IFERROR(INDEX('Raw Data'!$E$2:$E$501,MATCH('Raw Data'!D66,'Raw Data'!$D$2:$D$501,0)),"Unknown Customer"),'Raw Data'!E66)</f>
        <v>Kimberly Nguyen</v>
      </c>
      <c r="D66" s="2" t="str">
        <f aca="false">PROPER(TRIM('Raw Data'!G66))</f>
        <v>Cleveland</v>
      </c>
      <c r="E66" s="2" t="n">
        <f aca="false">ROUND(VALUE(SUBSTITUTE(TRIM('Raw Data'!M66),"$","")),2)</f>
        <v>1682.6</v>
      </c>
      <c r="F66" s="2" t="n">
        <f aca="false">IF('Raw Data'!O66="",0,'Raw Data'!O66)</f>
        <v>0</v>
      </c>
      <c r="G66" s="2" t="n">
        <f aca="false">ROUND('Raw Data'!P66,2)</f>
        <v>560.33</v>
      </c>
      <c r="H66" s="2" t="str">
        <f aca="false">IF('Raw Data'!S66="","Medium",'Raw Data'!S66)</f>
        <v>Low</v>
      </c>
      <c r="I66" s="2" t="str">
        <f aca="false">IF(E66&lt;100,"Small",IF(E66&lt;500,"Medium",IF(E66&lt;1500,"Large","Very Large")))</f>
        <v>Very Large</v>
      </c>
    </row>
    <row r="67" customFormat="false" ht="15" hidden="false" customHeight="false" outlineLevel="0" collapsed="false">
      <c r="A67" s="2" t="str">
        <f aca="false">'Raw Data'!A67</f>
        <v>ORD-3227</v>
      </c>
      <c r="B67" s="3" t="n">
        <f aca="false">IFERROR(DATEVALUE('Raw Data'!B67),"Check Format")</f>
        <v>45822</v>
      </c>
      <c r="C67" s="2" t="str">
        <f aca="false">IF('Raw Data'!E67="",IFERROR(INDEX('Raw Data'!$E$2:$E$501,MATCH('Raw Data'!D67,'Raw Data'!$D$2:$D$501,0)),"Unknown Customer"),'Raw Data'!E67)</f>
        <v>Andrew Reynolds</v>
      </c>
      <c r="D67" s="2" t="str">
        <f aca="false">PROPER(TRIM('Raw Data'!G67))</f>
        <v>Seattle</v>
      </c>
      <c r="E67" s="2" t="n">
        <f aca="false">ROUND(VALUE(SUBSTITUTE(TRIM('Raw Data'!M67),"$","")),2)</f>
        <v>2385.8</v>
      </c>
      <c r="F67" s="2" t="n">
        <f aca="false">IF('Raw Data'!O67="",0,'Raw Data'!O67)</f>
        <v>0.3</v>
      </c>
      <c r="G67" s="2" t="n">
        <f aca="false">ROUND('Raw Data'!P67,2)</f>
        <v>20.8</v>
      </c>
      <c r="H67" s="2" t="str">
        <f aca="false">IF('Raw Data'!S67="","Medium",'Raw Data'!S67)</f>
        <v>Critical</v>
      </c>
      <c r="I67" s="2" t="str">
        <f aca="false">IF(E67&lt;100,"Small",IF(E67&lt;500,"Medium",IF(E67&lt;1500,"Large","Very Large")))</f>
        <v>Very Large</v>
      </c>
    </row>
    <row r="68" customFormat="false" ht="15" hidden="false" customHeight="false" outlineLevel="0" collapsed="false">
      <c r="A68" s="2" t="str">
        <f aca="false">'Raw Data'!A68</f>
        <v>ORD-8200</v>
      </c>
      <c r="B68" s="3" t="n">
        <f aca="false">IFERROR(DATEVALUE('Raw Data'!B68),"Check Format")</f>
        <v>45155</v>
      </c>
      <c r="C68" s="2" t="str">
        <f aca="false">IF('Raw Data'!E68="",IFERROR(INDEX('Raw Data'!$E$2:$E$501,MATCH('Raw Data'!D68,'Raw Data'!$D$2:$D$501,0)),"Unknown Customer"),'Raw Data'!E68)</f>
        <v>Mary Miller</v>
      </c>
      <c r="D68" s="2" t="str">
        <f aca="false">PROPER(TRIM('Raw Data'!G68))</f>
        <v>Ann Arbor</v>
      </c>
      <c r="E68" s="2" t="n">
        <f aca="false">ROUND(VALUE(SUBSTITUTE(TRIM('Raw Data'!M68),"$","")),2)</f>
        <v>211.76</v>
      </c>
      <c r="F68" s="2" t="n">
        <f aca="false">IF('Raw Data'!O68="",0,'Raw Data'!O68)</f>
        <v>0.4</v>
      </c>
      <c r="G68" s="2" t="n">
        <f aca="false">ROUND('Raw Data'!P68,2)</f>
        <v>-32.52</v>
      </c>
      <c r="H68" s="2" t="str">
        <f aca="false">IF('Raw Data'!S68="","Medium",'Raw Data'!S68)</f>
        <v>Low</v>
      </c>
      <c r="I68" s="2" t="str">
        <f aca="false">IF(E68&lt;100,"Small",IF(E68&lt;500,"Medium",IF(E68&lt;1500,"Large","Very Large")))</f>
        <v>Medium</v>
      </c>
    </row>
    <row r="69" customFormat="false" ht="15" hidden="false" customHeight="false" outlineLevel="0" collapsed="false">
      <c r="A69" s="2" t="str">
        <f aca="false">'Raw Data'!A69</f>
        <v>ORD-5328</v>
      </c>
      <c r="B69" s="3" t="n">
        <f aca="false">IFERROR(DATEVALUE('Raw Data'!B69),"Check Format")</f>
        <v>45809</v>
      </c>
      <c r="C69" s="2" t="str">
        <f aca="false">IF('Raw Data'!E69="",IFERROR(INDEX('Raw Data'!$E$2:$E$501,MATCH('Raw Data'!D69,'Raw Data'!$D$2:$D$501,0)),"Unknown Customer"),'Raw Data'!E69)</f>
        <v>Ashley Malone</v>
      </c>
      <c r="D69" s="2" t="str">
        <f aca="false">PROPER(TRIM('Raw Data'!G69))</f>
        <v>Boulder</v>
      </c>
      <c r="E69" s="2" t="n">
        <f aca="false">ROUND(VALUE(SUBSTITUTE(TRIM('Raw Data'!M69),"$","")),2)</f>
        <v>64.74</v>
      </c>
      <c r="F69" s="2" t="n">
        <f aca="false">IF('Raw Data'!O69="",0,'Raw Data'!O69)</f>
        <v>0.15</v>
      </c>
      <c r="G69" s="2" t="n">
        <f aca="false">ROUND('Raw Data'!P69,2)</f>
        <v>11.88</v>
      </c>
      <c r="H69" s="2" t="str">
        <f aca="false">IF('Raw Data'!S69="","Medium",'Raw Data'!S69)</f>
        <v>Critical</v>
      </c>
      <c r="I69" s="2" t="str">
        <f aca="false">IF(E69&lt;100,"Small",IF(E69&lt;500,"Medium",IF(E69&lt;1500,"Large","Very Large")))</f>
        <v>Small</v>
      </c>
    </row>
    <row r="70" customFormat="false" ht="15" hidden="false" customHeight="false" outlineLevel="0" collapsed="false">
      <c r="A70" s="2" t="str">
        <f aca="false">'Raw Data'!A70</f>
        <v>ORD-5204</v>
      </c>
      <c r="B70" s="3" t="n">
        <f aca="false">IFERROR(DATEVALUE('Raw Data'!B70),"Check Format")</f>
        <v>45846</v>
      </c>
      <c r="C70" s="2" t="str">
        <f aca="false">IF('Raw Data'!E70="",IFERROR(INDEX('Raw Data'!$E$2:$E$501,MATCH('Raw Data'!D70,'Raw Data'!$D$2:$D$501,0)),"Unknown Customer"),'Raw Data'!E70)</f>
        <v>James Oconnor</v>
      </c>
      <c r="D70" s="2" t="str">
        <f aca="false">PROPER(TRIM('Raw Data'!G70))</f>
        <v>Chicago</v>
      </c>
      <c r="E70" s="2" t="n">
        <f aca="false">ROUND(VALUE(SUBSTITUTE(TRIM('Raw Data'!M70),"$","")),2)</f>
        <v>212.76</v>
      </c>
      <c r="F70" s="2" t="n">
        <f aca="false">IF('Raw Data'!O70="",0,'Raw Data'!O70)</f>
        <v>0</v>
      </c>
      <c r="G70" s="2" t="n">
        <f aca="false">ROUND('Raw Data'!P70,2)</f>
        <v>87.75</v>
      </c>
      <c r="H70" s="2" t="str">
        <f aca="false">IF('Raw Data'!S70="","Medium",'Raw Data'!S70)</f>
        <v>Low</v>
      </c>
      <c r="I70" s="2" t="str">
        <f aca="false">IF(E70&lt;100,"Small",IF(E70&lt;500,"Medium",IF(E70&lt;1500,"Large","Very Large")))</f>
        <v>Medium</v>
      </c>
    </row>
    <row r="71" customFormat="false" ht="15" hidden="false" customHeight="false" outlineLevel="0" collapsed="false">
      <c r="A71" s="2" t="str">
        <f aca="false">'Raw Data'!A71</f>
        <v>ORD-14633</v>
      </c>
      <c r="B71" s="3" t="n">
        <f aca="false">IFERROR(DATEVALUE('Raw Data'!B71),"Check Format")</f>
        <v>45686</v>
      </c>
      <c r="C71" s="2" t="str">
        <f aca="false">IF('Raw Data'!E71="",IFERROR(INDEX('Raw Data'!$E$2:$E$501,MATCH('Raw Data'!D71,'Raw Data'!$D$2:$D$501,0)),"Unknown Customer"),'Raw Data'!E71)</f>
        <v>Mary Campbell</v>
      </c>
      <c r="D71" s="2" t="str">
        <f aca="false">PROPER(TRIM('Raw Data'!G71))</f>
        <v>Louisville</v>
      </c>
      <c r="E71" s="2" t="n">
        <f aca="false">ROUND(VALUE(SUBSTITUTE(TRIM('Raw Data'!M71),"$","")),2)</f>
        <v>122.58</v>
      </c>
      <c r="F71" s="2" t="n">
        <f aca="false">IF('Raw Data'!O71="",0,'Raw Data'!O71)</f>
        <v>0.2</v>
      </c>
      <c r="G71" s="2" t="n">
        <f aca="false">ROUND('Raw Data'!P71,2)</f>
        <v>9.9</v>
      </c>
      <c r="H71" s="2" t="str">
        <f aca="false">IF('Raw Data'!S71="","Medium",'Raw Data'!S71)</f>
        <v>Critical</v>
      </c>
      <c r="I71" s="2" t="str">
        <f aca="false">IF(E71&lt;100,"Small",IF(E71&lt;500,"Medium",IF(E71&lt;1500,"Large","Very Large")))</f>
        <v>Medium</v>
      </c>
    </row>
    <row r="72" customFormat="false" ht="15" hidden="false" customHeight="false" outlineLevel="0" collapsed="false">
      <c r="A72" s="2" t="str">
        <f aca="false">'Raw Data'!A72</f>
        <v>ORD-14138</v>
      </c>
      <c r="B72" s="3" t="n">
        <f aca="false">IFERROR(DATEVALUE('Raw Data'!B72),"Check Format")</f>
        <v>45868</v>
      </c>
      <c r="C72" s="2" t="str">
        <f aca="false">IF('Raw Data'!E72="",IFERROR(INDEX('Raw Data'!$E$2:$E$501,MATCH('Raw Data'!D72,'Raw Data'!$D$2:$D$501,0)),"Unknown Customer"),'Raw Data'!E72)</f>
        <v>Diana Hays</v>
      </c>
      <c r="D72" s="2" t="str">
        <f aca="false">PROPER(TRIM('Raw Data'!G72))</f>
        <v>Reno</v>
      </c>
      <c r="E72" s="2" t="n">
        <f aca="false">ROUND(VALUE(SUBSTITUTE(TRIM('Raw Data'!M72),"$","")),2)</f>
        <v>248.92</v>
      </c>
      <c r="F72" s="2" t="n">
        <f aca="false">IF('Raw Data'!O72="",0,'Raw Data'!O72)</f>
        <v>0.5</v>
      </c>
      <c r="G72" s="2" t="n">
        <f aca="false">ROUND('Raw Data'!P72,2)</f>
        <v>-42.11</v>
      </c>
      <c r="H72" s="2" t="str">
        <f aca="false">IF('Raw Data'!S72="","Medium",'Raw Data'!S72)</f>
        <v>Medium</v>
      </c>
      <c r="I72" s="2" t="str">
        <f aca="false">IF(E72&lt;100,"Small",IF(E72&lt;500,"Medium",IF(E72&lt;1500,"Large","Very Large")))</f>
        <v>Medium</v>
      </c>
    </row>
    <row r="73" customFormat="false" ht="15" hidden="false" customHeight="false" outlineLevel="0" collapsed="false">
      <c r="A73" s="2" t="str">
        <f aca="false">'Raw Data'!A73</f>
        <v>ORD-9423</v>
      </c>
      <c r="B73" s="2" t="str">
        <f aca="false">IFERROR(DATEVALUE('Raw Data'!B73),"Check Format")</f>
        <v>Check Format</v>
      </c>
      <c r="C73" s="2" t="str">
        <f aca="false">IF('Raw Data'!E73="",IFERROR(INDEX('Raw Data'!$E$2:$E$501,MATCH('Raw Data'!D73,'Raw Data'!$D$2:$D$501,0)),"Unknown Customer"),'Raw Data'!E73)</f>
        <v>Amy Gordon</v>
      </c>
      <c r="D73" s="2" t="str">
        <f aca="false">PROPER(TRIM('Raw Data'!G73))</f>
        <v>Tucson</v>
      </c>
      <c r="E73" s="2" t="n">
        <f aca="false">ROUND(VALUE(SUBSTITUTE(TRIM('Raw Data'!M73),"$","")),2)</f>
        <v>841.56</v>
      </c>
      <c r="F73" s="2" t="n">
        <f aca="false">IF('Raw Data'!O73="",0,'Raw Data'!O73)</f>
        <v>0.2</v>
      </c>
      <c r="G73" s="2" t="n">
        <f aca="false">ROUND('Raw Data'!P73,2)</f>
        <v>-1.79</v>
      </c>
      <c r="H73" s="2" t="str">
        <f aca="false">IF('Raw Data'!S73="","Medium",'Raw Data'!S73)</f>
        <v>High</v>
      </c>
      <c r="I73" s="2" t="str">
        <f aca="false">IF(E73&lt;100,"Small",IF(E73&lt;500,"Medium",IF(E73&lt;1500,"Large","Very Large")))</f>
        <v>Large</v>
      </c>
    </row>
    <row r="74" customFormat="false" ht="15" hidden="false" customHeight="false" outlineLevel="0" collapsed="false">
      <c r="A74" s="2" t="str">
        <f aca="false">'Raw Data'!A74</f>
        <v>ORD-10826</v>
      </c>
      <c r="B74" s="3" t="n">
        <f aca="false">IFERROR(DATEVALUE('Raw Data'!B74),"Check Format")</f>
        <v>46036</v>
      </c>
      <c r="C74" s="2" t="str">
        <f aca="false">IF('Raw Data'!E74="",IFERROR(INDEX('Raw Data'!$E$2:$E$501,MATCH('Raw Data'!D74,'Raw Data'!$D$2:$D$501,0)),"Unknown Customer"),'Raw Data'!E74)</f>
        <v>Lisa Torres</v>
      </c>
      <c r="D74" s="2" t="str">
        <f aca="false">PROPER(TRIM('Raw Data'!G74))</f>
        <v>Buffalo</v>
      </c>
      <c r="E74" s="2" t="n">
        <f aca="false">ROUND(VALUE(SUBSTITUTE(TRIM('Raw Data'!M74),"$","")),2)</f>
        <v>21.5</v>
      </c>
      <c r="F74" s="2" t="n">
        <f aca="false">IF('Raw Data'!O74="",0,'Raw Data'!O74)</f>
        <v>0</v>
      </c>
      <c r="G74" s="2" t="n">
        <f aca="false">ROUND('Raw Data'!P74,2)</f>
        <v>7.1</v>
      </c>
      <c r="H74" s="2" t="str">
        <f aca="false">IF('Raw Data'!S74="","Medium",'Raw Data'!S74)</f>
        <v>Low</v>
      </c>
      <c r="I74" s="2" t="str">
        <f aca="false">IF(E74&lt;100,"Small",IF(E74&lt;500,"Medium",IF(E74&lt;1500,"Large","Very Large")))</f>
        <v>Small</v>
      </c>
    </row>
    <row r="75" customFormat="false" ht="15" hidden="false" customHeight="false" outlineLevel="0" collapsed="false">
      <c r="A75" s="2" t="str">
        <f aca="false">'Raw Data'!A75</f>
        <v>ORD-13172</v>
      </c>
      <c r="B75" s="3" t="n">
        <f aca="false">IFERROR(DATEVALUE('Raw Data'!B75),"Check Format")</f>
        <v>45404</v>
      </c>
      <c r="C75" s="2" t="str">
        <f aca="false">IF('Raw Data'!E75="",IFERROR(INDEX('Raw Data'!$E$2:$E$501,MATCH('Raw Data'!D75,'Raw Data'!$D$2:$D$501,0)),"Unknown Customer"),'Raw Data'!E75)</f>
        <v>Michael Smith</v>
      </c>
      <c r="D75" s="2" t="str">
        <f aca="false">PROPER(TRIM('Raw Data'!G75))</f>
        <v>Jersey City</v>
      </c>
      <c r="E75" s="2" t="n">
        <f aca="false">ROUND(VALUE(SUBSTITUTE(TRIM('Raw Data'!M75),"$","")),2)</f>
        <v>735.92</v>
      </c>
      <c r="F75" s="2" t="n">
        <f aca="false">IF('Raw Data'!O75="",0,'Raw Data'!O75)</f>
        <v>0</v>
      </c>
      <c r="G75" s="2" t="n">
        <f aca="false">ROUND('Raw Data'!P75,2)</f>
        <v>296.79</v>
      </c>
      <c r="H75" s="2" t="str">
        <f aca="false">IF('Raw Data'!S75="","Medium",'Raw Data'!S75)</f>
        <v>High</v>
      </c>
      <c r="I75" s="2" t="str">
        <f aca="false">IF(E75&lt;100,"Small",IF(E75&lt;500,"Medium",IF(E75&lt;1500,"Large","Very Large")))</f>
        <v>Large</v>
      </c>
    </row>
    <row r="76" customFormat="false" ht="15" hidden="false" customHeight="false" outlineLevel="0" collapsed="false">
      <c r="A76" s="2" t="str">
        <f aca="false">'Raw Data'!A76</f>
        <v>ORD-3442</v>
      </c>
      <c r="B76" s="3" t="n">
        <f aca="false">IFERROR(DATEVALUE('Raw Data'!B76),"Check Format")</f>
        <v>45346</v>
      </c>
      <c r="C76" s="2" t="str">
        <f aca="false">IF('Raw Data'!E76="",IFERROR(INDEX('Raw Data'!$E$2:$E$501,MATCH('Raw Data'!D76,'Raw Data'!$D$2:$D$501,0)),"Unknown Customer"),'Raw Data'!E76)</f>
        <v>Charles Haley</v>
      </c>
      <c r="D76" s="2" t="str">
        <f aca="false">PROPER(TRIM('Raw Data'!G76))</f>
        <v>St. Louis</v>
      </c>
      <c r="E76" s="2" t="n">
        <f aca="false">ROUND(VALUE(SUBSTITUTE(TRIM('Raw Data'!M76),"$","")),2)</f>
        <v>4689.36</v>
      </c>
      <c r="F76" s="2" t="n">
        <f aca="false">IF('Raw Data'!O76="",0,'Raw Data'!O76)</f>
        <v>0</v>
      </c>
      <c r="G76" s="2" t="n">
        <f aca="false">ROUND('Raw Data'!P76,2)</f>
        <v>1676.8</v>
      </c>
      <c r="H76" s="2" t="str">
        <f aca="false">IF('Raw Data'!S76="","Medium",'Raw Data'!S76)</f>
        <v>High</v>
      </c>
      <c r="I76" s="2" t="str">
        <f aca="false">IF(E76&lt;100,"Small",IF(E76&lt;500,"Medium",IF(E76&lt;1500,"Large","Very Large")))</f>
        <v>Very Large</v>
      </c>
    </row>
    <row r="77" customFormat="false" ht="15" hidden="false" customHeight="false" outlineLevel="0" collapsed="false">
      <c r="A77" s="2" t="str">
        <f aca="false">'Raw Data'!A77</f>
        <v>ORD-9444</v>
      </c>
      <c r="B77" s="3" t="n">
        <f aca="false">IFERROR(DATEVALUE('Raw Data'!B77),"Check Format")</f>
        <v>45855</v>
      </c>
      <c r="C77" s="2" t="str">
        <f aca="false">IF('Raw Data'!E77="",IFERROR(INDEX('Raw Data'!$E$2:$E$501,MATCH('Raw Data'!D77,'Raw Data'!$D$2:$D$501,0)),"Unknown Customer"),'Raw Data'!E77)</f>
        <v>Charles Turner</v>
      </c>
      <c r="D77" s="2" t="str">
        <f aca="false">PROPER(TRIM('Raw Data'!G77))</f>
        <v>Spokane</v>
      </c>
      <c r="E77" s="2" t="n">
        <f aca="false">ROUND(VALUE(SUBSTITUTE(TRIM('Raw Data'!M77),"$","")),2)</f>
        <v>278.16</v>
      </c>
      <c r="F77" s="2" t="n">
        <f aca="false">IF('Raw Data'!O77="",0,'Raw Data'!O77)</f>
        <v>0.15</v>
      </c>
      <c r="G77" s="2" t="n">
        <f aca="false">ROUND('Raw Data'!P77,2)</f>
        <v>31.1</v>
      </c>
      <c r="H77" s="2" t="str">
        <f aca="false">IF('Raw Data'!S77="","Medium",'Raw Data'!S77)</f>
        <v>Low</v>
      </c>
      <c r="I77" s="2" t="str">
        <f aca="false">IF(E77&lt;100,"Small",IF(E77&lt;500,"Medium",IF(E77&lt;1500,"Large","Very Large")))</f>
        <v>Medium</v>
      </c>
    </row>
    <row r="78" customFormat="false" ht="15" hidden="false" customHeight="false" outlineLevel="0" collapsed="false">
      <c r="A78" s="2" t="str">
        <f aca="false">'Raw Data'!A78</f>
        <v>ORD-16840</v>
      </c>
      <c r="B78" s="2" t="str">
        <f aca="false">IFERROR(DATEVALUE('Raw Data'!B78),"Check Format")</f>
        <v>Check Format</v>
      </c>
      <c r="C78" s="2" t="str">
        <f aca="false">IF('Raw Data'!E78="",IFERROR(INDEX('Raw Data'!$E$2:$E$501,MATCH('Raw Data'!D78,'Raw Data'!$D$2:$D$501,0)),"Unknown Customer"),'Raw Data'!E78)</f>
        <v>Ashley Hicks</v>
      </c>
      <c r="D78" s="2" t="str">
        <f aca="false">PROPER(TRIM('Raw Data'!G78))</f>
        <v>Las Vegas</v>
      </c>
      <c r="E78" s="2" t="n">
        <f aca="false">ROUND(VALUE(SUBSTITUTE(TRIM('Raw Data'!M78),"$","")),2)</f>
        <v>216.24</v>
      </c>
      <c r="F78" s="2" t="n">
        <f aca="false">IF('Raw Data'!O78="",0,'Raw Data'!O78)</f>
        <v>0</v>
      </c>
      <c r="G78" s="2" t="n">
        <f aca="false">ROUND('Raw Data'!P78,2)</f>
        <v>73.25</v>
      </c>
      <c r="H78" s="2" t="str">
        <f aca="false">IF('Raw Data'!S78="","Medium",'Raw Data'!S78)</f>
        <v>High</v>
      </c>
      <c r="I78" s="2" t="str">
        <f aca="false">IF(E78&lt;100,"Small",IF(E78&lt;500,"Medium",IF(E78&lt;1500,"Large","Very Large")))</f>
        <v>Medium</v>
      </c>
    </row>
    <row r="79" customFormat="false" ht="15" hidden="false" customHeight="false" outlineLevel="0" collapsed="false">
      <c r="A79" s="2" t="str">
        <f aca="false">'Raw Data'!A79</f>
        <v>ORD-12942</v>
      </c>
      <c r="B79" s="2" t="str">
        <f aca="false">IFERROR(DATEVALUE('Raw Data'!B79),"Check Format")</f>
        <v>Check Format</v>
      </c>
      <c r="C79" s="2" t="str">
        <f aca="false">IF('Raw Data'!E79="",IFERROR(INDEX('Raw Data'!$E$2:$E$501,MATCH('Raw Data'!D79,'Raw Data'!$D$2:$D$501,0)),"Unknown Customer"),'Raw Data'!E79)</f>
        <v>Erin Smith</v>
      </c>
      <c r="D79" s="2" t="str">
        <f aca="false">PROPER(TRIM('Raw Data'!G79))</f>
        <v>Kansas City</v>
      </c>
      <c r="E79" s="2" t="n">
        <f aca="false">ROUND(VALUE(SUBSTITUTE(TRIM('Raw Data'!M79),"$","")),2)</f>
        <v>283.59</v>
      </c>
      <c r="F79" s="2" t="n">
        <f aca="false">IF('Raw Data'!O79="",0,'Raw Data'!O79)</f>
        <v>0</v>
      </c>
      <c r="G79" s="2" t="n">
        <f aca="false">ROUND('Raw Data'!P79,2)</f>
        <v>80.6</v>
      </c>
      <c r="H79" s="2" t="str">
        <f aca="false">IF('Raw Data'!S79="","Medium",'Raw Data'!S79)</f>
        <v>Medium</v>
      </c>
      <c r="I79" s="2" t="str">
        <f aca="false">IF(E79&lt;100,"Small",IF(E79&lt;500,"Medium",IF(E79&lt;1500,"Large","Very Large")))</f>
        <v>Medium</v>
      </c>
    </row>
    <row r="80" customFormat="false" ht="15" hidden="false" customHeight="false" outlineLevel="0" collapsed="false">
      <c r="A80" s="2" t="str">
        <f aca="false">'Raw Data'!A80</f>
        <v>ORD-3317</v>
      </c>
      <c r="B80" s="3" t="n">
        <f aca="false">IFERROR(DATEVALUE('Raw Data'!B80),"Check Format")</f>
        <v>45401</v>
      </c>
      <c r="C80" s="2" t="str">
        <f aca="false">IF('Raw Data'!E80="",IFERROR(INDEX('Raw Data'!$E$2:$E$501,MATCH('Raw Data'!D80,'Raw Data'!$D$2:$D$501,0)),"Unknown Customer"),'Raw Data'!E80)</f>
        <v>April Frost</v>
      </c>
      <c r="D80" s="2" t="str">
        <f aca="false">PROPER(TRIM('Raw Data'!G80))</f>
        <v>Columbus</v>
      </c>
      <c r="E80" s="2" t="n">
        <f aca="false">ROUND(VALUE(SUBSTITUTE(TRIM('Raw Data'!M80),"$","")),2)</f>
        <v>70.92</v>
      </c>
      <c r="F80" s="2" t="n">
        <f aca="false">IF('Raw Data'!O80="",0,'Raw Data'!O80)</f>
        <v>0.15</v>
      </c>
      <c r="G80" s="2" t="n">
        <f aca="false">ROUND('Raw Data'!P80,2)</f>
        <v>11.14</v>
      </c>
      <c r="H80" s="2" t="str">
        <f aca="false">IF('Raw Data'!S80="","Medium",'Raw Data'!S80)</f>
        <v>High</v>
      </c>
      <c r="I80" s="2" t="str">
        <f aca="false">IF(E80&lt;100,"Small",IF(E80&lt;500,"Medium",IF(E80&lt;1500,"Large","Very Large")))</f>
        <v>Small</v>
      </c>
    </row>
    <row r="81" customFormat="false" ht="15" hidden="false" customHeight="false" outlineLevel="0" collapsed="false">
      <c r="A81" s="2" t="str">
        <f aca="false">'Raw Data'!A81</f>
        <v>ORD-16434</v>
      </c>
      <c r="B81" s="2" t="str">
        <f aca="false">IFERROR(DATEVALUE('Raw Data'!B81),"Check Format")</f>
        <v>Check Format</v>
      </c>
      <c r="C81" s="2" t="str">
        <f aca="false">IF('Raw Data'!E81="",IFERROR(INDEX('Raw Data'!$E$2:$E$501,MATCH('Raw Data'!D81,'Raw Data'!$D$2:$D$501,0)),"Unknown Customer"),'Raw Data'!E81)</f>
        <v>Kenneth Knight</v>
      </c>
      <c r="D81" s="2" t="str">
        <f aca="false">PROPER(TRIM('Raw Data'!G81))</f>
        <v/>
      </c>
      <c r="E81" s="2" t="n">
        <f aca="false">ROUND(VALUE(SUBSTITUTE(TRIM('Raw Data'!M81),"$","")),2)</f>
        <v>1281.7</v>
      </c>
      <c r="F81" s="2" t="n">
        <f aca="false">IF('Raw Data'!O81="",0,'Raw Data'!O81)</f>
        <v>0</v>
      </c>
      <c r="G81" s="2" t="n">
        <f aca="false">ROUND('Raw Data'!P81,2)</f>
        <v>350.57</v>
      </c>
      <c r="H81" s="2" t="str">
        <f aca="false">IF('Raw Data'!S81="","Medium",'Raw Data'!S81)</f>
        <v>High</v>
      </c>
      <c r="I81" s="2" t="str">
        <f aca="false">IF(E81&lt;100,"Small",IF(E81&lt;500,"Medium",IF(E81&lt;1500,"Large","Very Large")))</f>
        <v>Large</v>
      </c>
    </row>
    <row r="82" customFormat="false" ht="15" hidden="false" customHeight="false" outlineLevel="0" collapsed="false">
      <c r="A82" s="2" t="str">
        <f aca="false">'Raw Data'!A82</f>
        <v>ORD-17192</v>
      </c>
      <c r="B82" s="2" t="str">
        <f aca="false">IFERROR(DATEVALUE('Raw Data'!B82),"Check Format")</f>
        <v>Check Format</v>
      </c>
      <c r="C82" s="2" t="str">
        <f aca="false">IF('Raw Data'!E82="",IFERROR(INDEX('Raw Data'!$E$2:$E$501,MATCH('Raw Data'!D82,'Raw Data'!$D$2:$D$501,0)),"Unknown Customer"),'Raw Data'!E82)</f>
        <v>Rachel Bradley</v>
      </c>
      <c r="D82" s="2" t="str">
        <f aca="false">PROPER(TRIM('Raw Data'!G82))</f>
        <v>Sacramento</v>
      </c>
      <c r="E82" s="2" t="n">
        <f aca="false">ROUND(VALUE(SUBSTITUTE(TRIM('Raw Data'!M82),"$","")),2)</f>
        <v>215.37</v>
      </c>
      <c r="F82" s="2" t="n">
        <f aca="false">IF('Raw Data'!O82="",0,'Raw Data'!O82)</f>
        <v>0</v>
      </c>
      <c r="G82" s="2" t="n">
        <f aca="false">ROUND('Raw Data'!P82,2)</f>
        <v>72.98</v>
      </c>
      <c r="H82" s="2" t="str">
        <f aca="false">IF('Raw Data'!S82="","Medium",'Raw Data'!S82)</f>
        <v>Critical</v>
      </c>
      <c r="I82" s="2" t="str">
        <f aca="false">IF(E82&lt;100,"Small",IF(E82&lt;500,"Medium",IF(E82&lt;1500,"Large","Very Large")))</f>
        <v>Medium</v>
      </c>
    </row>
    <row r="83" customFormat="false" ht="15" hidden="false" customHeight="false" outlineLevel="0" collapsed="false">
      <c r="A83" s="2" t="str">
        <f aca="false">'Raw Data'!A83</f>
        <v>ORD-12383</v>
      </c>
      <c r="B83" s="3" t="n">
        <f aca="false">IFERROR(DATEVALUE('Raw Data'!B83),"Check Format")</f>
        <v>46103</v>
      </c>
      <c r="C83" s="2" t="str">
        <f aca="false">IF('Raw Data'!E83="",IFERROR(INDEX('Raw Data'!$E$2:$E$501,MATCH('Raw Data'!D83,'Raw Data'!$D$2:$D$501,0)),"Unknown Customer"),'Raw Data'!E83)</f>
        <v>Jennifer Simpson DVM</v>
      </c>
      <c r="D83" s="2" t="str">
        <f aca="false">PROPER(TRIM('Raw Data'!G83))</f>
        <v>Spokane</v>
      </c>
      <c r="E83" s="2" t="n">
        <f aca="false">ROUND(VALUE(SUBSTITUTE(TRIM('Raw Data'!M83),"$","")),2)</f>
        <v>3283.5</v>
      </c>
      <c r="F83" s="2" t="n">
        <f aca="false">IF('Raw Data'!O83="",0,'Raw Data'!O83)</f>
        <v>0.4</v>
      </c>
      <c r="G83" s="2" t="n">
        <f aca="false">ROUND('Raw Data'!P83,2)</f>
        <v>-113.69</v>
      </c>
      <c r="H83" s="2" t="str">
        <f aca="false">IF('Raw Data'!S83="","Medium",'Raw Data'!S83)</f>
        <v>Low</v>
      </c>
      <c r="I83" s="2" t="str">
        <f aca="false">IF(E83&lt;100,"Small",IF(E83&lt;500,"Medium",IF(E83&lt;1500,"Large","Very Large")))</f>
        <v>Very Large</v>
      </c>
    </row>
    <row r="84" customFormat="false" ht="15" hidden="false" customHeight="false" outlineLevel="0" collapsed="false">
      <c r="A84" s="2" t="str">
        <f aca="false">'Raw Data'!A84</f>
        <v>ORD-16201</v>
      </c>
      <c r="B84" s="2" t="str">
        <f aca="false">IFERROR(DATEVALUE('Raw Data'!B84),"Check Format")</f>
        <v>Check Format</v>
      </c>
      <c r="C84" s="2" t="str">
        <f aca="false">IF('Raw Data'!E84="",IFERROR(INDEX('Raw Data'!$E$2:$E$501,MATCH('Raw Data'!D84,'Raw Data'!$D$2:$D$501,0)),"Unknown Customer"),'Raw Data'!E84)</f>
        <v>John Austin</v>
      </c>
      <c r="D84" s="2" t="str">
        <f aca="false">PROPER(TRIM('Raw Data'!G84))</f>
        <v>Phoenix</v>
      </c>
      <c r="E84" s="2" t="n">
        <f aca="false">ROUND(VALUE(SUBSTITUTE(TRIM('Raw Data'!M84),"$","")),2)</f>
        <v>46.04</v>
      </c>
      <c r="F84" s="2" t="n">
        <f aca="false">IF('Raw Data'!O84="",0,'Raw Data'!O84)</f>
        <v>0.15</v>
      </c>
      <c r="G84" s="2" t="n">
        <f aca="false">ROUND('Raw Data'!P84,2)</f>
        <v>3.97</v>
      </c>
      <c r="H84" s="2" t="str">
        <f aca="false">IF('Raw Data'!S84="","Medium",'Raw Data'!S84)</f>
        <v>Medium</v>
      </c>
      <c r="I84" s="2" t="str">
        <f aca="false">IF(E84&lt;100,"Small",IF(E84&lt;500,"Medium",IF(E84&lt;1500,"Large","Very Large")))</f>
        <v>Small</v>
      </c>
    </row>
    <row r="85" customFormat="false" ht="15" hidden="false" customHeight="false" outlineLevel="0" collapsed="false">
      <c r="A85" s="2" t="str">
        <f aca="false">'Raw Data'!A85</f>
        <v>ORD-15287</v>
      </c>
      <c r="B85" s="3" t="n">
        <f aca="false">IFERROR(DATEVALUE('Raw Data'!B85),"Check Format")</f>
        <v>46094</v>
      </c>
      <c r="C85" s="2" t="str">
        <f aca="false">IF('Raw Data'!E85="",IFERROR(INDEX('Raw Data'!$E$2:$E$501,MATCH('Raw Data'!D85,'Raw Data'!$D$2:$D$501,0)),"Unknown Customer"),'Raw Data'!E85)</f>
        <v>Yvonne Burns</v>
      </c>
      <c r="D85" s="2" t="str">
        <f aca="false">PROPER(TRIM('Raw Data'!G85))</f>
        <v>Spokane</v>
      </c>
      <c r="E85" s="2" t="n">
        <f aca="false">ROUND(VALUE(SUBSTITUTE(TRIM('Raw Data'!M85),"$","")),2)</f>
        <v>29.97</v>
      </c>
      <c r="F85" s="2" t="n">
        <f aca="false">IF('Raw Data'!O85="",0,'Raw Data'!O85)</f>
        <v>0.5</v>
      </c>
      <c r="G85" s="2" t="n">
        <f aca="false">ROUND('Raw Data'!P85,2)</f>
        <v>-10.04</v>
      </c>
      <c r="H85" s="2" t="str">
        <f aca="false">IF('Raw Data'!S85="","Medium",'Raw Data'!S85)</f>
        <v>High</v>
      </c>
      <c r="I85" s="2" t="str">
        <f aca="false">IF(E85&lt;100,"Small",IF(E85&lt;500,"Medium",IF(E85&lt;1500,"Large","Very Large")))</f>
        <v>Small</v>
      </c>
    </row>
    <row r="86" customFormat="false" ht="15" hidden="false" customHeight="false" outlineLevel="0" collapsed="false">
      <c r="A86" s="2" t="str">
        <f aca="false">'Raw Data'!A86</f>
        <v>ORD-8782</v>
      </c>
      <c r="B86" s="3" t="n">
        <f aca="false">IFERROR(DATEVALUE('Raw Data'!B86),"Check Format")</f>
        <v>46013</v>
      </c>
      <c r="C86" s="2" t="str">
        <f aca="false">IF('Raw Data'!E86="",IFERROR(INDEX('Raw Data'!$E$2:$E$501,MATCH('Raw Data'!D86,'Raw Data'!$D$2:$D$501,0)),"Unknown Customer"),'Raw Data'!E86)</f>
        <v>Jasmine Beltran</v>
      </c>
      <c r="D86" s="2" t="str">
        <f aca="false">PROPER(TRIM('Raw Data'!G86))</f>
        <v>Memphis</v>
      </c>
      <c r="E86" s="2" t="n">
        <f aca="false">ROUND(VALUE(SUBSTITUTE(TRIM('Raw Data'!M86),"$","")),2)</f>
        <v>1860.93</v>
      </c>
      <c r="F86" s="2" t="n">
        <f aca="false">IF('Raw Data'!O86="",0,'Raw Data'!O86)</f>
        <v>0</v>
      </c>
      <c r="G86" s="2" t="n">
        <f aca="false">ROUND('Raw Data'!P86,2)</f>
        <v>744.47</v>
      </c>
      <c r="H86" s="2" t="str">
        <f aca="false">IF('Raw Data'!S86="","Medium",'Raw Data'!S86)</f>
        <v>Medium</v>
      </c>
      <c r="I86" s="2" t="str">
        <f aca="false">IF(E86&lt;100,"Small",IF(E86&lt;500,"Medium",IF(E86&lt;1500,"Large","Very Large")))</f>
        <v>Very Large</v>
      </c>
    </row>
    <row r="87" customFormat="false" ht="15" hidden="false" customHeight="false" outlineLevel="0" collapsed="false">
      <c r="A87" s="2" t="str">
        <f aca="false">'Raw Data'!A87</f>
        <v>ORD-13305</v>
      </c>
      <c r="B87" s="2" t="str">
        <f aca="false">IFERROR(DATEVALUE('Raw Data'!B87),"Check Format")</f>
        <v>Check Format</v>
      </c>
      <c r="C87" s="2" t="str">
        <f aca="false">IF('Raw Data'!E87="",IFERROR(INDEX('Raw Data'!$E$2:$E$501,MATCH('Raw Data'!D87,'Raw Data'!$D$2:$D$501,0)),"Unknown Customer"),'Raw Data'!E87)</f>
        <v>Wayne Morgan</v>
      </c>
      <c r="D87" s="2" t="str">
        <f aca="false">PROPER(TRIM('Raw Data'!G87))</f>
        <v>Reno</v>
      </c>
      <c r="E87" s="2" t="n">
        <f aca="false">ROUND(VALUE(SUBSTITUTE(TRIM('Raw Data'!M87),"$","")),2)</f>
        <v>761.94</v>
      </c>
      <c r="F87" s="2" t="n">
        <f aca="false">IF('Raw Data'!O87="",0,'Raw Data'!O87)</f>
        <v>0</v>
      </c>
      <c r="G87" s="2" t="n">
        <f aca="false">ROUND('Raw Data'!P87,2)</f>
        <v>140.34</v>
      </c>
      <c r="H87" s="2" t="str">
        <f aca="false">IF('Raw Data'!S87="","Medium",'Raw Data'!S87)</f>
        <v>Critical</v>
      </c>
      <c r="I87" s="2" t="str">
        <f aca="false">IF(E87&lt;100,"Small",IF(E87&lt;500,"Medium",IF(E87&lt;1500,"Large","Very Large")))</f>
        <v>Large</v>
      </c>
    </row>
    <row r="88" customFormat="false" ht="15" hidden="false" customHeight="false" outlineLevel="0" collapsed="false">
      <c r="A88" s="2" t="str">
        <f aca="false">'Raw Data'!A88</f>
        <v>ORD-8497</v>
      </c>
      <c r="B88" s="3" t="n">
        <f aca="false">IFERROR(DATEVALUE('Raw Data'!B88),"Check Format")</f>
        <v>45388</v>
      </c>
      <c r="C88" s="2" t="str">
        <f aca="false">IF('Raw Data'!E88="",IFERROR(INDEX('Raw Data'!$E$2:$E$501,MATCH('Raw Data'!D88,'Raw Data'!$D$2:$D$501,0)),"Unknown Customer"),'Raw Data'!E88)</f>
        <v>Stephen Cowan</v>
      </c>
      <c r="D88" s="2" t="str">
        <f aca="false">PROPER(TRIM('Raw Data'!G88))</f>
        <v>Portland</v>
      </c>
      <c r="E88" s="2" t="n">
        <f aca="false">ROUND(VALUE(SUBSTITUTE(TRIM('Raw Data'!M88),"$","")),2)</f>
        <v>191.62</v>
      </c>
      <c r="F88" s="2" t="n">
        <f aca="false">IF('Raw Data'!O88="",0,'Raw Data'!O88)</f>
        <v>0.1</v>
      </c>
      <c r="G88" s="2" t="n">
        <f aca="false">ROUND('Raw Data'!P88,2)</f>
        <v>64.67</v>
      </c>
      <c r="H88" s="2" t="str">
        <f aca="false">IF('Raw Data'!S88="","Medium",'Raw Data'!S88)</f>
        <v>Critical</v>
      </c>
      <c r="I88" s="2" t="str">
        <f aca="false">IF(E88&lt;100,"Small",IF(E88&lt;500,"Medium",IF(E88&lt;1500,"Large","Very Large")))</f>
        <v>Medium</v>
      </c>
    </row>
    <row r="89" customFormat="false" ht="15" hidden="false" customHeight="false" outlineLevel="0" collapsed="false">
      <c r="A89" s="2" t="str">
        <f aca="false">'Raw Data'!A89</f>
        <v>ORD-7536</v>
      </c>
      <c r="B89" s="2" t="str">
        <f aca="false">IFERROR(DATEVALUE('Raw Data'!B89),"Check Format")</f>
        <v>Check Format</v>
      </c>
      <c r="C89" s="2" t="str">
        <f aca="false">IF('Raw Data'!E89="",IFERROR(INDEX('Raw Data'!$E$2:$E$501,MATCH('Raw Data'!D89,'Raw Data'!$D$2:$D$501,0)),"Unknown Customer"),'Raw Data'!E89)</f>
        <v>Samantha Zavala MD</v>
      </c>
      <c r="D89" s="2" t="str">
        <f aca="false">PROPER(TRIM('Raw Data'!G89))</f>
        <v>St. Louis</v>
      </c>
      <c r="E89" s="2" t="n">
        <f aca="false">ROUND(VALUE(SUBSTITUTE(TRIM('Raw Data'!M89),"$","")),2)</f>
        <v>4067.77</v>
      </c>
      <c r="F89" s="2" t="n">
        <f aca="false">IF('Raw Data'!O89="",0,'Raw Data'!O89)</f>
        <v>0.5</v>
      </c>
      <c r="G89" s="2" t="n">
        <f aca="false">ROUND('Raw Data'!P89,2)</f>
        <v>-451.66</v>
      </c>
      <c r="H89" s="2" t="str">
        <f aca="false">IF('Raw Data'!S89="","Medium",'Raw Data'!S89)</f>
        <v>Low</v>
      </c>
      <c r="I89" s="2" t="str">
        <f aca="false">IF(E89&lt;100,"Small",IF(E89&lt;500,"Medium",IF(E89&lt;1500,"Large","Very Large")))</f>
        <v>Very Large</v>
      </c>
    </row>
    <row r="90" customFormat="false" ht="15" hidden="false" customHeight="false" outlineLevel="0" collapsed="false">
      <c r="A90" s="2" t="str">
        <f aca="false">'Raw Data'!A90</f>
        <v>ORD-17720</v>
      </c>
      <c r="B90" s="2" t="str">
        <f aca="false">IFERROR(DATEVALUE('Raw Data'!B90),"Check Format")</f>
        <v>Check Format</v>
      </c>
      <c r="C90" s="2" t="str">
        <f aca="false">IF('Raw Data'!E90="",IFERROR(INDEX('Raw Data'!$E$2:$E$501,MATCH('Raw Data'!D90,'Raw Data'!$D$2:$D$501,0)),"Unknown Customer"),'Raw Data'!E90)</f>
        <v>Kim Erickson</v>
      </c>
      <c r="D90" s="2" t="str">
        <f aca="false">PROPER(TRIM('Raw Data'!G90))</f>
        <v>Phoenix</v>
      </c>
      <c r="E90" s="2" t="n">
        <f aca="false">ROUND(VALUE(SUBSTITUTE(TRIM('Raw Data'!M90),"$","")),2)</f>
        <v>51.7</v>
      </c>
      <c r="F90" s="2" t="n">
        <f aca="false">IF('Raw Data'!O90="",0,'Raw Data'!O90)</f>
        <v>0.3</v>
      </c>
      <c r="G90" s="2" t="n">
        <f aca="false">ROUND('Raw Data'!P90,2)</f>
        <v>1.22</v>
      </c>
      <c r="H90" s="2" t="str">
        <f aca="false">IF('Raw Data'!S90="","Medium",'Raw Data'!S90)</f>
        <v>Medium</v>
      </c>
      <c r="I90" s="2" t="str">
        <f aca="false">IF(E90&lt;100,"Small",IF(E90&lt;500,"Medium",IF(E90&lt;1500,"Large","Very Large")))</f>
        <v>Small</v>
      </c>
    </row>
    <row r="91" customFormat="false" ht="15" hidden="false" customHeight="false" outlineLevel="0" collapsed="false">
      <c r="A91" s="2" t="str">
        <f aca="false">'Raw Data'!A91</f>
        <v>ORD-9116</v>
      </c>
      <c r="B91" s="2" t="str">
        <f aca="false">IFERROR(DATEVALUE('Raw Data'!B91),"Check Format")</f>
        <v>Check Format</v>
      </c>
      <c r="C91" s="2" t="str">
        <f aca="false">IF('Raw Data'!E91="",IFERROR(INDEX('Raw Data'!$E$2:$E$501,MATCH('Raw Data'!D91,'Raw Data'!$D$2:$D$501,0)),"Unknown Customer"),'Raw Data'!E91)</f>
        <v>Samantha Foster</v>
      </c>
      <c r="D91" s="2" t="str">
        <f aca="false">PROPER(TRIM('Raw Data'!G91))</f>
        <v>Duluth</v>
      </c>
      <c r="E91" s="2" t="n">
        <f aca="false">ROUND(VALUE(SUBSTITUTE(TRIM('Raw Data'!M91),"$","")),2)</f>
        <v>436.28</v>
      </c>
      <c r="F91" s="2" t="n">
        <f aca="false">IF('Raw Data'!O91="",0,'Raw Data'!O91)</f>
        <v>0.4</v>
      </c>
      <c r="G91" s="2" t="n">
        <f aca="false">ROUND('Raw Data'!P91,2)</f>
        <v>-58.81</v>
      </c>
      <c r="H91" s="2" t="str">
        <f aca="false">IF('Raw Data'!S91="","Medium",'Raw Data'!S91)</f>
        <v>High</v>
      </c>
      <c r="I91" s="2" t="str">
        <f aca="false">IF(E91&lt;100,"Small",IF(E91&lt;500,"Medium",IF(E91&lt;1500,"Large","Very Large")))</f>
        <v>Medium</v>
      </c>
    </row>
    <row r="92" customFormat="false" ht="15" hidden="false" customHeight="false" outlineLevel="0" collapsed="false">
      <c r="A92" s="2" t="str">
        <f aca="false">'Raw Data'!A92</f>
        <v>ORD-16853</v>
      </c>
      <c r="B92" s="3" t="n">
        <f aca="false">IFERROR(DATEVALUE('Raw Data'!B92),"Check Format")</f>
        <v>46002</v>
      </c>
      <c r="C92" s="2" t="str">
        <f aca="false">IF('Raw Data'!E92="",IFERROR(INDEX('Raw Data'!$E$2:$E$501,MATCH('Raw Data'!D92,'Raw Data'!$D$2:$D$501,0)),"Unknown Customer"),'Raw Data'!E92)</f>
        <v>Erica Moon</v>
      </c>
      <c r="D92" s="2" t="str">
        <f aca="false">PROPER(TRIM('Raw Data'!G92))</f>
        <v>Duluth</v>
      </c>
      <c r="E92" s="2" t="n">
        <f aca="false">ROUND(VALUE(SUBSTITUTE(TRIM('Raw Data'!M92),"$","")),2)</f>
        <v>265.95</v>
      </c>
      <c r="F92" s="2" t="n">
        <f aca="false">IF('Raw Data'!O92="",0,'Raw Data'!O92)</f>
        <v>0</v>
      </c>
      <c r="G92" s="2" t="n">
        <f aca="false">ROUND('Raw Data'!P92,2)</f>
        <v>94.95</v>
      </c>
      <c r="H92" s="2" t="str">
        <f aca="false">IF('Raw Data'!S92="","Medium",'Raw Data'!S92)</f>
        <v>High</v>
      </c>
      <c r="I92" s="2" t="str">
        <f aca="false">IF(E92&lt;100,"Small",IF(E92&lt;500,"Medium",IF(E92&lt;1500,"Large","Very Large")))</f>
        <v>Medium</v>
      </c>
    </row>
    <row r="93" customFormat="false" ht="15" hidden="false" customHeight="false" outlineLevel="0" collapsed="false">
      <c r="A93" s="2" t="str">
        <f aca="false">'Raw Data'!A93</f>
        <v>ORD-14538</v>
      </c>
      <c r="B93" s="2" t="str">
        <f aca="false">IFERROR(DATEVALUE('Raw Data'!B93),"Check Format")</f>
        <v>Check Format</v>
      </c>
      <c r="C93" s="2" t="str">
        <f aca="false">IF('Raw Data'!E93="",IFERROR(INDEX('Raw Data'!$E$2:$E$501,MATCH('Raw Data'!D93,'Raw Data'!$D$2:$D$501,0)),"Unknown Customer"),'Raw Data'!E93)</f>
        <v>Richard Henson</v>
      </c>
      <c r="D93" s="2" t="str">
        <f aca="false">PROPER(TRIM('Raw Data'!G93))</f>
        <v>Louisville</v>
      </c>
      <c r="E93" s="2" t="n">
        <f aca="false">ROUND(VALUE(SUBSTITUTE(TRIM('Raw Data'!M93),"$","")),2)</f>
        <v>156</v>
      </c>
      <c r="F93" s="2" t="n">
        <f aca="false">IF('Raw Data'!O93="",0,'Raw Data'!O93)</f>
        <v>0</v>
      </c>
      <c r="G93" s="2" t="n">
        <f aca="false">ROUND('Raw Data'!P93,2)</f>
        <v>45.7</v>
      </c>
      <c r="H93" s="2" t="str">
        <f aca="false">IF('Raw Data'!S93="","Medium",'Raw Data'!S93)</f>
        <v>Low</v>
      </c>
      <c r="I93" s="2" t="str">
        <f aca="false">IF(E93&lt;100,"Small",IF(E93&lt;500,"Medium",IF(E93&lt;1500,"Large","Very Large")))</f>
        <v>Medium</v>
      </c>
    </row>
    <row r="94" customFormat="false" ht="15" hidden="false" customHeight="false" outlineLevel="0" collapsed="false">
      <c r="A94" s="2" t="str">
        <f aca="false">'Raw Data'!A94</f>
        <v>ORD-9156</v>
      </c>
      <c r="B94" s="2" t="str">
        <f aca="false">IFERROR(DATEVALUE('Raw Data'!B94),"Check Format")</f>
        <v>Check Format</v>
      </c>
      <c r="C94" s="2" t="str">
        <f aca="false">IF('Raw Data'!E94="",IFERROR(INDEX('Raw Data'!$E$2:$E$501,MATCH('Raw Data'!D94,'Raw Data'!$D$2:$D$501,0)),"Unknown Customer"),'Raw Data'!E94)</f>
        <v>Michael Lyons</v>
      </c>
      <c r="D94" s="2" t="str">
        <f aca="false">PROPER(TRIM('Raw Data'!G94))</f>
        <v>Cleveland</v>
      </c>
      <c r="E94" s="2" t="n">
        <f aca="false">ROUND(VALUE(SUBSTITUTE(TRIM('Raw Data'!M94),"$","")),2)</f>
        <v>1547.81</v>
      </c>
      <c r="F94" s="2" t="n">
        <f aca="false">IF('Raw Data'!O94="",0,'Raw Data'!O94)</f>
        <v>0</v>
      </c>
      <c r="G94" s="2" t="n">
        <f aca="false">ROUND('Raw Data'!P94,2)</f>
        <v>-500.43</v>
      </c>
      <c r="H94" s="2" t="str">
        <f aca="false">IF('Raw Data'!S94="","Medium",'Raw Data'!S94)</f>
        <v>Medium</v>
      </c>
      <c r="I94" s="2" t="str">
        <f aca="false">IF(E94&lt;100,"Small",IF(E94&lt;500,"Medium",IF(E94&lt;1500,"Large","Very Large")))</f>
        <v>Very Large</v>
      </c>
    </row>
    <row r="95" customFormat="false" ht="15" hidden="false" customHeight="false" outlineLevel="0" collapsed="false">
      <c r="A95" s="2" t="str">
        <f aca="false">'Raw Data'!A95</f>
        <v>ORD-5131</v>
      </c>
      <c r="B95" s="3" t="n">
        <f aca="false">IFERROR(DATEVALUE('Raw Data'!B95),"Check Format")</f>
        <v>46023</v>
      </c>
      <c r="C95" s="2" t="str">
        <f aca="false">IF('Raw Data'!E95="",IFERROR(INDEX('Raw Data'!$E$2:$E$501,MATCH('Raw Data'!D95,'Raw Data'!$D$2:$D$501,0)),"Unknown Customer"),'Raw Data'!E95)</f>
        <v>Jason Powell</v>
      </c>
      <c r="D95" s="2" t="str">
        <f aca="false">PROPER(TRIM('Raw Data'!G95))</f>
        <v>Baton Rouge</v>
      </c>
      <c r="E95" s="2" t="n">
        <f aca="false">ROUND(VALUE(SUBSTITUTE(TRIM('Raw Data'!M95),"$","")),2)</f>
        <v>606.96</v>
      </c>
      <c r="F95" s="2" t="n">
        <f aca="false">IF('Raw Data'!O95="",0,'Raw Data'!O95)</f>
        <v>0</v>
      </c>
      <c r="G95" s="2" t="n">
        <f aca="false">ROUND('Raw Data'!P95,2)</f>
        <v>153.46</v>
      </c>
      <c r="H95" s="2" t="str">
        <f aca="false">IF('Raw Data'!S95="","Medium",'Raw Data'!S95)</f>
        <v>Medium</v>
      </c>
      <c r="I95" s="2" t="str">
        <f aca="false">IF(E95&lt;100,"Small",IF(E95&lt;500,"Medium",IF(E95&lt;1500,"Large","Very Large")))</f>
        <v>Large</v>
      </c>
    </row>
    <row r="96" customFormat="false" ht="15" hidden="false" customHeight="false" outlineLevel="0" collapsed="false">
      <c r="A96" s="2" t="str">
        <f aca="false">'Raw Data'!A96</f>
        <v>ORD-17228</v>
      </c>
      <c r="B96" s="3" t="n">
        <f aca="false">IFERROR(DATEVALUE('Raw Data'!B96),"Check Format")</f>
        <v>45858</v>
      </c>
      <c r="C96" s="2" t="str">
        <f aca="false">IF('Raw Data'!E96="",IFERROR(INDEX('Raw Data'!$E$2:$E$501,MATCH('Raw Data'!D96,'Raw Data'!$D$2:$D$501,0)),"Unknown Customer"),'Raw Data'!E96)</f>
        <v>David Wright</v>
      </c>
      <c r="D96" s="2" t="str">
        <f aca="false">PROPER(TRIM('Raw Data'!G96))</f>
        <v>St. Louis</v>
      </c>
      <c r="E96" s="2" t="n">
        <f aca="false">ROUND(VALUE(SUBSTITUTE(TRIM('Raw Data'!M96),"$","")),2)</f>
        <v>22</v>
      </c>
      <c r="F96" s="2" t="n">
        <f aca="false">IF('Raw Data'!O96="",0,'Raw Data'!O96)</f>
        <v>0</v>
      </c>
      <c r="G96" s="2" t="n">
        <f aca="false">ROUND('Raw Data'!P96,2)</f>
        <v>7.76</v>
      </c>
      <c r="H96" s="2" t="str">
        <f aca="false">IF('Raw Data'!S96="","Medium",'Raw Data'!S96)</f>
        <v>High</v>
      </c>
      <c r="I96" s="2" t="str">
        <f aca="false">IF(E96&lt;100,"Small",IF(E96&lt;500,"Medium",IF(E96&lt;1500,"Large","Very Large")))</f>
        <v>Small</v>
      </c>
    </row>
    <row r="97" customFormat="false" ht="15" hidden="false" customHeight="false" outlineLevel="0" collapsed="false">
      <c r="A97" s="2" t="str">
        <f aca="false">'Raw Data'!A97</f>
        <v>ORD-10009</v>
      </c>
      <c r="B97" s="3" t="n">
        <f aca="false">IFERROR(DATEVALUE('Raw Data'!B97),"Check Format")</f>
        <v>45864</v>
      </c>
      <c r="C97" s="2" t="str">
        <f aca="false">IF('Raw Data'!E97="",IFERROR(INDEX('Raw Data'!$E$2:$E$501,MATCH('Raw Data'!D97,'Raw Data'!$D$2:$D$501,0)),"Unknown Customer"),'Raw Data'!E97)</f>
        <v>George Ochoa</v>
      </c>
      <c r="D97" s="2" t="str">
        <f aca="false">PROPER(TRIM('Raw Data'!G97))</f>
        <v>Philadelphia</v>
      </c>
      <c r="E97" s="2" t="n">
        <f aca="false">ROUND(VALUE(SUBSTITUTE(TRIM('Raw Data'!M97),"$","")),2)</f>
        <v>454.38</v>
      </c>
      <c r="F97" s="2" t="n">
        <f aca="false">IF('Raw Data'!O97="",0,'Raw Data'!O97)</f>
        <v>0.2</v>
      </c>
      <c r="G97" s="2" t="n">
        <f aca="false">ROUND('Raw Data'!P97,2)</f>
        <v>-4.97</v>
      </c>
      <c r="H97" s="2" t="str">
        <f aca="false">IF('Raw Data'!S97="","Medium",'Raw Data'!S97)</f>
        <v>Critical</v>
      </c>
      <c r="I97" s="2" t="str">
        <f aca="false">IF(E97&lt;100,"Small",IF(E97&lt;500,"Medium",IF(E97&lt;1500,"Large","Very Large")))</f>
        <v>Medium</v>
      </c>
    </row>
    <row r="98" customFormat="false" ht="15" hidden="false" customHeight="false" outlineLevel="0" collapsed="false">
      <c r="A98" s="2" t="str">
        <f aca="false">'Raw Data'!A98</f>
        <v>ORD-7236</v>
      </c>
      <c r="B98" s="3" t="n">
        <f aca="false">IFERROR(DATEVALUE('Raw Data'!B98),"Check Format")</f>
        <v>45754</v>
      </c>
      <c r="C98" s="2" t="str">
        <f aca="false">IF('Raw Data'!E98="",IFERROR(INDEX('Raw Data'!$E$2:$E$501,MATCH('Raw Data'!D98,'Raw Data'!$D$2:$D$501,0)),"Unknown Customer"),'Raw Data'!E98)</f>
        <v>Erica Johnson</v>
      </c>
      <c r="D98" s="2" t="str">
        <f aca="false">PROPER(TRIM('Raw Data'!G98))</f>
        <v>Miami</v>
      </c>
      <c r="E98" s="2" t="n">
        <f aca="false">ROUND(VALUE(SUBSTITUTE(TRIM('Raw Data'!M98),"$","")),2)</f>
        <v>309.87</v>
      </c>
      <c r="F98" s="2" t="n">
        <f aca="false">IF('Raw Data'!O98="",0,'Raw Data'!O98)</f>
        <v>0.3</v>
      </c>
      <c r="G98" s="2" t="n">
        <f aca="false">ROUND('Raw Data'!P98,2)</f>
        <v>-0.4</v>
      </c>
      <c r="H98" s="2" t="str">
        <f aca="false">IF('Raw Data'!S98="","Medium",'Raw Data'!S98)</f>
        <v>Critical</v>
      </c>
      <c r="I98" s="2" t="str">
        <f aca="false">IF(E98&lt;100,"Small",IF(E98&lt;500,"Medium",IF(E98&lt;1500,"Large","Very Large")))</f>
        <v>Medium</v>
      </c>
    </row>
    <row r="99" customFormat="false" ht="15" hidden="false" customHeight="false" outlineLevel="0" collapsed="false">
      <c r="A99" s="2" t="str">
        <f aca="false">'Raw Data'!A99</f>
        <v>ORD-4209</v>
      </c>
      <c r="B99" s="3" t="n">
        <f aca="false">IFERROR(DATEVALUE('Raw Data'!B99),"Check Format")</f>
        <v>45749</v>
      </c>
      <c r="C99" s="2" t="str">
        <f aca="false">IF('Raw Data'!E99="",IFERROR(INDEX('Raw Data'!$E$2:$E$501,MATCH('Raw Data'!D99,'Raw Data'!$D$2:$D$501,0)),"Unknown Customer"),'Raw Data'!E99)</f>
        <v>Rodney Williams</v>
      </c>
      <c r="D99" s="2" t="str">
        <f aca="false">PROPER(TRIM('Raw Data'!G99))</f>
        <v>Norfolk</v>
      </c>
      <c r="E99" s="2" t="n">
        <f aca="false">ROUND(VALUE(SUBSTITUTE(TRIM('Raw Data'!M99),"$","")),2)</f>
        <v>667</v>
      </c>
      <c r="F99" s="2" t="n">
        <f aca="false">IF('Raw Data'!O99="",0,'Raw Data'!O99)</f>
        <v>0.4</v>
      </c>
      <c r="G99" s="2" t="n">
        <f aca="false">ROUND('Raw Data'!P99,2)</f>
        <v>-99.63</v>
      </c>
      <c r="H99" s="2" t="str">
        <f aca="false">IF('Raw Data'!S99="","Medium",'Raw Data'!S99)</f>
        <v>Low</v>
      </c>
      <c r="I99" s="2" t="str">
        <f aca="false">IF(E99&lt;100,"Small",IF(E99&lt;500,"Medium",IF(E99&lt;1500,"Large","Very Large")))</f>
        <v>Large</v>
      </c>
    </row>
    <row r="100" customFormat="false" ht="15" hidden="false" customHeight="false" outlineLevel="0" collapsed="false">
      <c r="A100" s="2" t="str">
        <f aca="false">'Raw Data'!A100</f>
        <v>ORD-11683</v>
      </c>
      <c r="B100" s="3" t="n">
        <f aca="false">IFERROR(DATEVALUE('Raw Data'!B100),"Check Format")</f>
        <v>46298</v>
      </c>
      <c r="C100" s="2" t="str">
        <f aca="false">IF('Raw Data'!E100="",IFERROR(INDEX('Raw Data'!$E$2:$E$501,MATCH('Raw Data'!D100,'Raw Data'!$D$2:$D$501,0)),"Unknown Customer"),'Raw Data'!E100)</f>
        <v>Yvonne Burns</v>
      </c>
      <c r="D100" s="2" t="str">
        <f aca="false">PROPER(TRIM('Raw Data'!G100))</f>
        <v>Reno</v>
      </c>
      <c r="E100" s="2" t="n">
        <f aca="false">ROUND(VALUE(SUBSTITUTE(TRIM('Raw Data'!M100),"$","")),2)</f>
        <v>271.06</v>
      </c>
      <c r="F100" s="2" t="n">
        <f aca="false">IF('Raw Data'!O100="",0,'Raw Data'!O100)</f>
        <v>0.2</v>
      </c>
      <c r="G100" s="2" t="n">
        <f aca="false">ROUND('Raw Data'!P100,2)</f>
        <v>11.29</v>
      </c>
      <c r="H100" s="2" t="str">
        <f aca="false">IF('Raw Data'!S100="","Medium",'Raw Data'!S100)</f>
        <v>Medium</v>
      </c>
      <c r="I100" s="2" t="str">
        <f aca="false">IF(E100&lt;100,"Small",IF(E100&lt;500,"Medium",IF(E100&lt;1500,"Large","Very Large")))</f>
        <v>Medium</v>
      </c>
    </row>
    <row r="101" customFormat="false" ht="15" hidden="false" customHeight="false" outlineLevel="0" collapsed="false">
      <c r="A101" s="2" t="str">
        <f aca="false">'Raw Data'!A101</f>
        <v>ORD-5124</v>
      </c>
      <c r="B101" s="3" t="n">
        <f aca="false">IFERROR(DATEVALUE('Raw Data'!B101),"Check Format")</f>
        <v>45587</v>
      </c>
      <c r="C101" s="2" t="str">
        <f aca="false">IF('Raw Data'!E101="",IFERROR(INDEX('Raw Data'!$E$2:$E$501,MATCH('Raw Data'!D101,'Raw Data'!$D$2:$D$501,0)),"Unknown Customer"),'Raw Data'!E101)</f>
        <v>William Graham</v>
      </c>
      <c r="D101" s="2" t="str">
        <f aca="false">PROPER(TRIM('Raw Data'!G101))</f>
        <v>Orlando</v>
      </c>
      <c r="E101" s="2" t="n">
        <f aca="false">ROUND(VALUE(SUBSTITUTE(TRIM('Raw Data'!M101),"$","")),2)</f>
        <v>136.51</v>
      </c>
      <c r="F101" s="2" t="n">
        <f aca="false">IF('Raw Data'!O101="",0,'Raw Data'!O101)</f>
        <v>0</v>
      </c>
      <c r="G101" s="2" t="n">
        <f aca="false">ROUND('Raw Data'!P101,2)</f>
        <v>61.08</v>
      </c>
      <c r="H101" s="2" t="str">
        <f aca="false">IF('Raw Data'!S101="","Medium",'Raw Data'!S101)</f>
        <v>Critical</v>
      </c>
      <c r="I101" s="2" t="str">
        <f aca="false">IF(E101&lt;100,"Small",IF(E101&lt;500,"Medium",IF(E101&lt;1500,"Large","Very Large")))</f>
        <v>Medium</v>
      </c>
    </row>
    <row r="102" customFormat="false" ht="15" hidden="false" customHeight="false" outlineLevel="0" collapsed="false">
      <c r="A102" s="2" t="str">
        <f aca="false">'Raw Data'!A102</f>
        <v>ORD-6420</v>
      </c>
      <c r="B102" s="3" t="n">
        <f aca="false">IFERROR(DATEVALUE('Raw Data'!B102),"Check Format")</f>
        <v>45914</v>
      </c>
      <c r="C102" s="2" t="str">
        <f aca="false">IF('Raw Data'!E102="",IFERROR(INDEX('Raw Data'!$E$2:$E$501,MATCH('Raw Data'!D102,'Raw Data'!$D$2:$D$501,0)),"Unknown Customer"),'Raw Data'!E102)</f>
        <v>Emily Arnold</v>
      </c>
      <c r="D102" s="2" t="str">
        <f aca="false">PROPER(TRIM('Raw Data'!G102))</f>
        <v>Denver</v>
      </c>
      <c r="E102" s="2" t="n">
        <f aca="false">ROUND(VALUE(SUBSTITUTE(TRIM('Raw Data'!M102),"$","")),2)</f>
        <v>107.52</v>
      </c>
      <c r="F102" s="2" t="n">
        <f aca="false">IF('Raw Data'!O102="",0,'Raw Data'!O102)</f>
        <v>0.2</v>
      </c>
      <c r="G102" s="2" t="n">
        <f aca="false">ROUND('Raw Data'!P102,2)</f>
        <v>25.44</v>
      </c>
      <c r="H102" s="2" t="str">
        <f aca="false">IF('Raw Data'!S102="","Medium",'Raw Data'!S102)</f>
        <v>Critical</v>
      </c>
      <c r="I102" s="2" t="str">
        <f aca="false">IF(E102&lt;100,"Small",IF(E102&lt;500,"Medium",IF(E102&lt;1500,"Large","Very Large")))</f>
        <v>Medium</v>
      </c>
    </row>
    <row r="103" customFormat="false" ht="15" hidden="false" customHeight="false" outlineLevel="0" collapsed="false">
      <c r="A103" s="2" t="str">
        <f aca="false">'Raw Data'!A103</f>
        <v>ORD-16714</v>
      </c>
      <c r="B103" s="2" t="str">
        <f aca="false">IFERROR(DATEVALUE('Raw Data'!B103),"Check Format")</f>
        <v>Check Format</v>
      </c>
      <c r="C103" s="2" t="str">
        <f aca="false">IF('Raw Data'!E103="",IFERROR(INDEX('Raw Data'!$E$2:$E$501,MATCH('Raw Data'!D103,'Raw Data'!$D$2:$D$501,0)),"Unknown Customer"),'Raw Data'!E103)</f>
        <v>Louis Martin</v>
      </c>
      <c r="D103" s="2" t="str">
        <f aca="false">PROPER(TRIM('Raw Data'!G103))</f>
        <v>Cleveland</v>
      </c>
      <c r="E103" s="2" t="n">
        <f aca="false">ROUND(VALUE(SUBSTITUTE(TRIM('Raw Data'!M103),"$","")),2)</f>
        <v>186.36</v>
      </c>
      <c r="F103" s="2" t="n">
        <f aca="false">IF('Raw Data'!O103="",0,'Raw Data'!O103)</f>
        <v>0.3</v>
      </c>
      <c r="G103" s="2" t="n">
        <f aca="false">ROUND('Raw Data'!P103,2)</f>
        <v>-8.1</v>
      </c>
      <c r="H103" s="2" t="str">
        <f aca="false">IF('Raw Data'!S103="","Medium",'Raw Data'!S103)</f>
        <v>High</v>
      </c>
      <c r="I103" s="2" t="str">
        <f aca="false">IF(E103&lt;100,"Small",IF(E103&lt;500,"Medium",IF(E103&lt;1500,"Large","Very Large")))</f>
        <v>Medium</v>
      </c>
    </row>
    <row r="104" customFormat="false" ht="15" hidden="false" customHeight="false" outlineLevel="0" collapsed="false">
      <c r="A104" s="2" t="str">
        <f aca="false">'Raw Data'!A104</f>
        <v>ORD-4499</v>
      </c>
      <c r="B104" s="3" t="n">
        <f aca="false">IFERROR(DATEVALUE('Raw Data'!B104),"Check Format")</f>
        <v>45523</v>
      </c>
      <c r="C104" s="2" t="str">
        <f aca="false">IF('Raw Data'!E104="",IFERROR(INDEX('Raw Data'!$E$2:$E$501,MATCH('Raw Data'!D104,'Raw Data'!$D$2:$D$501,0)),"Unknown Customer"),'Raw Data'!E104)</f>
        <v>Zachary Hicks</v>
      </c>
      <c r="D104" s="2" t="str">
        <f aca="false">PROPER(TRIM('Raw Data'!G104))</f>
        <v>Newark</v>
      </c>
      <c r="E104" s="2" t="n">
        <f aca="false">ROUND(VALUE(SUBSTITUTE(TRIM('Raw Data'!M104),"$","")),2)</f>
        <v>651.42</v>
      </c>
      <c r="F104" s="2" t="n">
        <f aca="false">IF('Raw Data'!O104="",0,'Raw Data'!O104)</f>
        <v>0.15</v>
      </c>
      <c r="G104" s="2" t="n">
        <f aca="false">ROUND('Raw Data'!P104,2)</f>
        <v>159.39</v>
      </c>
      <c r="H104" s="2" t="str">
        <f aca="false">IF('Raw Data'!S104="","Medium",'Raw Data'!S104)</f>
        <v>Critical</v>
      </c>
      <c r="I104" s="2" t="str">
        <f aca="false">IF(E104&lt;100,"Small",IF(E104&lt;500,"Medium",IF(E104&lt;1500,"Large","Very Large")))</f>
        <v>Large</v>
      </c>
    </row>
    <row r="105" customFormat="false" ht="15" hidden="false" customHeight="false" outlineLevel="0" collapsed="false">
      <c r="A105" s="2" t="str">
        <f aca="false">'Raw Data'!A105</f>
        <v>ORD-14559</v>
      </c>
      <c r="B105" s="3" t="n">
        <f aca="false">IFERROR(DATEVALUE('Raw Data'!B105),"Check Format")</f>
        <v>45141</v>
      </c>
      <c r="C105" s="2" t="str">
        <f aca="false">IF('Raw Data'!E105="",IFERROR(INDEX('Raw Data'!$E$2:$E$501,MATCH('Raw Data'!D105,'Raw Data'!$D$2:$D$501,0)),"Unknown Customer"),'Raw Data'!E105)</f>
        <v>Samantha Gardner</v>
      </c>
      <c r="D105" s="2" t="str">
        <f aca="false">PROPER(TRIM('Raw Data'!G105))</f>
        <v>Springfield</v>
      </c>
      <c r="E105" s="2" t="n">
        <f aca="false">ROUND(VALUE(SUBSTITUTE(TRIM('Raw Data'!M105),"$","")),2)</f>
        <v>863.16</v>
      </c>
      <c r="F105" s="2" t="n">
        <f aca="false">IF('Raw Data'!O105="",0,'Raw Data'!O105)</f>
        <v>0</v>
      </c>
      <c r="G105" s="2" t="n">
        <f aca="false">ROUND('Raw Data'!P105,2)</f>
        <v>315.43</v>
      </c>
      <c r="H105" s="2" t="str">
        <f aca="false">IF('Raw Data'!S105="","Medium",'Raw Data'!S105)</f>
        <v>High</v>
      </c>
      <c r="I105" s="2" t="str">
        <f aca="false">IF(E105&lt;100,"Small",IF(E105&lt;500,"Medium",IF(E105&lt;1500,"Large","Very Large")))</f>
        <v>Large</v>
      </c>
    </row>
    <row r="106" customFormat="false" ht="15" hidden="false" customHeight="false" outlineLevel="0" collapsed="false">
      <c r="A106" s="2" t="str">
        <f aca="false">'Raw Data'!A106</f>
        <v>ORD-10777</v>
      </c>
      <c r="B106" s="3" t="n">
        <f aca="false">IFERROR(DATEVALUE('Raw Data'!B106),"Check Format")</f>
        <v>46266</v>
      </c>
      <c r="C106" s="2" t="str">
        <f aca="false">IF('Raw Data'!E106="",IFERROR(INDEX('Raw Data'!$E$2:$E$501,MATCH('Raw Data'!D106,'Raw Data'!$D$2:$D$501,0)),"Unknown Customer"),'Raw Data'!E106)</f>
        <v>Christine Lopez</v>
      </c>
      <c r="D106" s="2" t="str">
        <f aca="false">PROPER(TRIM('Raw Data'!G106))</f>
        <v>Lexington</v>
      </c>
      <c r="E106" s="2" t="n">
        <f aca="false">ROUND(VALUE(SUBSTITUTE(TRIM('Raw Data'!M106),"$","")),2)</f>
        <v>1284</v>
      </c>
      <c r="F106" s="2" t="n">
        <f aca="false">IF('Raw Data'!O106="",0,'Raw Data'!O106)</f>
        <v>0</v>
      </c>
      <c r="G106" s="2" t="n">
        <f aca="false">ROUND('Raw Data'!P106,2)</f>
        <v>504.07</v>
      </c>
      <c r="H106" s="2" t="str">
        <f aca="false">IF('Raw Data'!S106="","Medium",'Raw Data'!S106)</f>
        <v>High</v>
      </c>
      <c r="I106" s="2" t="str">
        <f aca="false">IF(E106&lt;100,"Small",IF(E106&lt;500,"Medium",IF(E106&lt;1500,"Large","Very Large")))</f>
        <v>Large</v>
      </c>
    </row>
    <row r="107" customFormat="false" ht="15" hidden="false" customHeight="false" outlineLevel="0" collapsed="false">
      <c r="A107" s="2" t="str">
        <f aca="false">'Raw Data'!A107</f>
        <v>ORD-13170</v>
      </c>
      <c r="B107" s="2" t="str">
        <f aca="false">IFERROR(DATEVALUE('Raw Data'!B107),"Check Format")</f>
        <v>Check Format</v>
      </c>
      <c r="C107" s="2" t="str">
        <f aca="false">IF('Raw Data'!E107="",IFERROR(INDEX('Raw Data'!$E$2:$E$501,MATCH('Raw Data'!D107,'Raw Data'!$D$2:$D$501,0)),"Unknown Customer"),'Raw Data'!E107)</f>
        <v>Heather Parrish</v>
      </c>
      <c r="D107" s="2" t="str">
        <f aca="false">PROPER(TRIM('Raw Data'!G107))</f>
        <v>Worcester</v>
      </c>
      <c r="E107" s="2" t="n">
        <f aca="false">ROUND(VALUE(SUBSTITUTE(TRIM('Raw Data'!M107),"$","")),2)</f>
        <v>276.12</v>
      </c>
      <c r="F107" s="2" t="n">
        <f aca="false">IF('Raw Data'!O107="",0,'Raw Data'!O107)</f>
        <v>0</v>
      </c>
      <c r="G107" s="2" t="n">
        <f aca="false">ROUND('Raw Data'!P107,2)</f>
        <v>95.3</v>
      </c>
      <c r="H107" s="2" t="str">
        <f aca="false">IF('Raw Data'!S107="","Medium",'Raw Data'!S107)</f>
        <v>Low</v>
      </c>
      <c r="I107" s="2" t="str">
        <f aca="false">IF(E107&lt;100,"Small",IF(E107&lt;500,"Medium",IF(E107&lt;1500,"Large","Very Large")))</f>
        <v>Medium</v>
      </c>
    </row>
    <row r="108" customFormat="false" ht="15" hidden="false" customHeight="false" outlineLevel="0" collapsed="false">
      <c r="A108" s="2" t="str">
        <f aca="false">'Raw Data'!A108</f>
        <v>ORD-17759</v>
      </c>
      <c r="B108" s="3" t="n">
        <f aca="false">IFERROR(DATEVALUE('Raw Data'!B108),"Check Format")</f>
        <v>46178</v>
      </c>
      <c r="C108" s="2" t="str">
        <f aca="false">IF('Raw Data'!E108="",IFERROR(INDEX('Raw Data'!$E$2:$E$501,MATCH('Raw Data'!D108,'Raw Data'!$D$2:$D$501,0)),"Unknown Customer"),'Raw Data'!E108)</f>
        <v>Alicia Roth</v>
      </c>
      <c r="D108" s="2" t="str">
        <f aca="false">PROPER(TRIM('Raw Data'!G108))</f>
        <v>New York City</v>
      </c>
      <c r="E108" s="2" t="n">
        <f aca="false">ROUND(VALUE(SUBSTITUTE(TRIM('Raw Data'!M108),"$","")),2)</f>
        <v>959.84</v>
      </c>
      <c r="F108" s="2" t="n">
        <f aca="false">IF('Raw Data'!O108="",0,'Raw Data'!O108)</f>
        <v>0.1</v>
      </c>
      <c r="G108" s="2" t="n">
        <f aca="false">ROUND('Raw Data'!P108,2)</f>
        <v>321.81</v>
      </c>
      <c r="H108" s="2" t="str">
        <f aca="false">IF('Raw Data'!S108="","Medium",'Raw Data'!S108)</f>
        <v>Critical</v>
      </c>
      <c r="I108" s="2" t="str">
        <f aca="false">IF(E108&lt;100,"Small",IF(E108&lt;500,"Medium",IF(E108&lt;1500,"Large","Very Large")))</f>
        <v>Large</v>
      </c>
    </row>
    <row r="109" customFormat="false" ht="15" hidden="false" customHeight="false" outlineLevel="0" collapsed="false">
      <c r="A109" s="2" t="str">
        <f aca="false">'Raw Data'!A109</f>
        <v>ORD-10140</v>
      </c>
      <c r="B109" s="3" t="n">
        <f aca="false">IFERROR(DATEVALUE('Raw Data'!B109),"Check Format")</f>
        <v>45727</v>
      </c>
      <c r="C109" s="2" t="str">
        <f aca="false">IF('Raw Data'!E109="",IFERROR(INDEX('Raw Data'!$E$2:$E$501,MATCH('Raw Data'!D109,'Raw Data'!$D$2:$D$501,0)),"Unknown Customer"),'Raw Data'!E109)</f>
        <v>Stephanie Elliott</v>
      </c>
      <c r="D109" s="2" t="str">
        <f aca="false">PROPER(TRIM('Raw Data'!G109))</f>
        <v>Phoenix</v>
      </c>
      <c r="E109" s="2" t="n">
        <f aca="false">ROUND(VALUE(SUBSTITUTE(TRIM('Raw Data'!M109),"$","")),2)</f>
        <v>87.32</v>
      </c>
      <c r="F109" s="2" t="n">
        <f aca="false">IF('Raw Data'!O109="",0,'Raw Data'!O109)</f>
        <v>0.4</v>
      </c>
      <c r="G109" s="2" t="n">
        <f aca="false">ROUND('Raw Data'!P109,2)</f>
        <v>-11.68</v>
      </c>
      <c r="H109" s="2" t="str">
        <f aca="false">IF('Raw Data'!S109="","Medium",'Raw Data'!S109)</f>
        <v>Critical</v>
      </c>
      <c r="I109" s="2" t="str">
        <f aca="false">IF(E109&lt;100,"Small",IF(E109&lt;500,"Medium",IF(E109&lt;1500,"Large","Very Large")))</f>
        <v>Small</v>
      </c>
    </row>
    <row r="110" customFormat="false" ht="15" hidden="false" customHeight="false" outlineLevel="0" collapsed="false">
      <c r="A110" s="2" t="str">
        <f aca="false">'Raw Data'!A110</f>
        <v>ORD-3748</v>
      </c>
      <c r="B110" s="3" t="n">
        <f aca="false">IFERROR(DATEVALUE('Raw Data'!B110),"Check Format")</f>
        <v>45821</v>
      </c>
      <c r="C110" s="2" t="str">
        <f aca="false">IF('Raw Data'!E110="",IFERROR(INDEX('Raw Data'!$E$2:$E$501,MATCH('Raw Data'!D110,'Raw Data'!$D$2:$D$501,0)),"Unknown Customer"),'Raw Data'!E110)</f>
        <v>Paul Castaneda</v>
      </c>
      <c r="D110" s="2" t="str">
        <f aca="false">PROPER(TRIM('Raw Data'!G110))</f>
        <v>Reno</v>
      </c>
      <c r="E110" s="2" t="n">
        <f aca="false">ROUND(VALUE(SUBSTITUTE(TRIM('Raw Data'!M110),"$","")),2)</f>
        <v>325.17</v>
      </c>
      <c r="F110" s="2" t="n">
        <f aca="false">IF('Raw Data'!O110="",0,'Raw Data'!O110)</f>
        <v>0.5</v>
      </c>
      <c r="G110" s="2" t="n">
        <f aca="false">ROUND('Raw Data'!P110,2)</f>
        <v>-45.35</v>
      </c>
      <c r="H110" s="2" t="str">
        <f aca="false">IF('Raw Data'!S110="","Medium",'Raw Data'!S110)</f>
        <v>High</v>
      </c>
      <c r="I110" s="2" t="str">
        <f aca="false">IF(E110&lt;100,"Small",IF(E110&lt;500,"Medium",IF(E110&lt;1500,"Large","Very Large")))</f>
        <v>Medium</v>
      </c>
    </row>
    <row r="111" customFormat="false" ht="15" hidden="false" customHeight="false" outlineLevel="0" collapsed="false">
      <c r="A111" s="2" t="str">
        <f aca="false">'Raw Data'!A111</f>
        <v>ORD-6596</v>
      </c>
      <c r="B111" s="3" t="n">
        <f aca="false">IFERROR(DATEVALUE('Raw Data'!B111),"Check Format")</f>
        <v>46144</v>
      </c>
      <c r="C111" s="2" t="str">
        <f aca="false">IF('Raw Data'!E111="",IFERROR(INDEX('Raw Data'!$E$2:$E$501,MATCH('Raw Data'!D111,'Raw Data'!$D$2:$D$501,0)),"Unknown Customer"),'Raw Data'!E111)</f>
        <v>Chris Velazquez</v>
      </c>
      <c r="D111" s="2" t="str">
        <f aca="false">PROPER(TRIM('Raw Data'!G111))</f>
        <v>Boston</v>
      </c>
      <c r="E111" s="2" t="n">
        <f aca="false">ROUND(VALUE(SUBSTITUTE(TRIM('Raw Data'!M111),"$","")),2)</f>
        <v>268.29</v>
      </c>
      <c r="F111" s="2" t="n">
        <f aca="false">IF('Raw Data'!O111="",0,'Raw Data'!O111)</f>
        <v>0</v>
      </c>
      <c r="G111" s="2" t="n">
        <f aca="false">ROUND('Raw Data'!P111,2)</f>
        <v>47.4</v>
      </c>
      <c r="H111" s="2" t="str">
        <f aca="false">IF('Raw Data'!S111="","Medium",'Raw Data'!S111)</f>
        <v>High</v>
      </c>
      <c r="I111" s="2" t="str">
        <f aca="false">IF(E111&lt;100,"Small",IF(E111&lt;500,"Medium",IF(E111&lt;1500,"Large","Very Large")))</f>
        <v>Medium</v>
      </c>
    </row>
    <row r="112" customFormat="false" ht="15" hidden="false" customHeight="false" outlineLevel="0" collapsed="false">
      <c r="A112" s="2" t="str">
        <f aca="false">'Raw Data'!A112</f>
        <v>ORD-15982</v>
      </c>
      <c r="B112" s="3" t="n">
        <f aca="false">IFERROR(DATEVALUE('Raw Data'!B112),"Check Format")</f>
        <v>45885</v>
      </c>
      <c r="C112" s="2" t="str">
        <f aca="false">IF('Raw Data'!E112="",IFERROR(INDEX('Raw Data'!$E$2:$E$501,MATCH('Raw Data'!D112,'Raw Data'!$D$2:$D$501,0)),"Unknown Customer"),'Raw Data'!E112)</f>
        <v>Kimberly Morrison</v>
      </c>
      <c r="D112" s="2" t="str">
        <f aca="false">PROPER(TRIM('Raw Data'!G112))</f>
        <v>Philadelphia</v>
      </c>
      <c r="E112" s="2" t="n">
        <f aca="false">ROUND(VALUE(SUBSTITUTE(TRIM('Raw Data'!M112),"$","")),2)</f>
        <v>4492.08</v>
      </c>
      <c r="F112" s="2" t="n">
        <f aca="false">IF('Raw Data'!O112="",0,'Raw Data'!O112)</f>
        <v>0</v>
      </c>
      <c r="G112" s="2" t="n">
        <f aca="false">ROUND('Raw Data'!P112,2)</f>
        <v>845.09</v>
      </c>
      <c r="H112" s="2" t="str">
        <f aca="false">IF('Raw Data'!S112="","Medium",'Raw Data'!S112)</f>
        <v>High</v>
      </c>
      <c r="I112" s="2" t="str">
        <f aca="false">IF(E112&lt;100,"Small",IF(E112&lt;500,"Medium",IF(E112&lt;1500,"Large","Very Large")))</f>
        <v>Very Large</v>
      </c>
    </row>
    <row r="113" customFormat="false" ht="15" hidden="false" customHeight="false" outlineLevel="0" collapsed="false">
      <c r="A113" s="2" t="str">
        <f aca="false">'Raw Data'!A113</f>
        <v>ORD-14165</v>
      </c>
      <c r="B113" s="2" t="str">
        <f aca="false">IFERROR(DATEVALUE('Raw Data'!B113),"Check Format")</f>
        <v>Check Format</v>
      </c>
      <c r="C113" s="2" t="str">
        <f aca="false">IF('Raw Data'!E113="",IFERROR(INDEX('Raw Data'!$E$2:$E$501,MATCH('Raw Data'!D113,'Raw Data'!$D$2:$D$501,0)),"Unknown Customer"),'Raw Data'!E113)</f>
        <v>Robin Young</v>
      </c>
      <c r="D113" s="2" t="str">
        <f aca="false">PROPER(TRIM('Raw Data'!G113))</f>
        <v>Birmingham</v>
      </c>
      <c r="E113" s="2" t="n">
        <f aca="false">ROUND(VALUE(SUBSTITUTE(TRIM('Raw Data'!M113),"$","")),2)</f>
        <v>118.36</v>
      </c>
      <c r="F113" s="2" t="n">
        <f aca="false">IF('Raw Data'!O113="",0,'Raw Data'!O113)</f>
        <v>0</v>
      </c>
      <c r="G113" s="2" t="n">
        <f aca="false">ROUND('Raw Data'!P113,2)</f>
        <v>16.12</v>
      </c>
      <c r="H113" s="2" t="str">
        <f aca="false">IF('Raw Data'!S113="","Medium",'Raw Data'!S113)</f>
        <v>High</v>
      </c>
      <c r="I113" s="2" t="str">
        <f aca="false">IF(E113&lt;100,"Small",IF(E113&lt;500,"Medium",IF(E113&lt;1500,"Large","Very Large")))</f>
        <v>Medium</v>
      </c>
    </row>
    <row r="114" customFormat="false" ht="15" hidden="false" customHeight="false" outlineLevel="0" collapsed="false">
      <c r="A114" s="2" t="str">
        <f aca="false">'Raw Data'!A114</f>
        <v>ORD-5822</v>
      </c>
      <c r="B114" s="2" t="str">
        <f aca="false">IFERROR(DATEVALUE('Raw Data'!B114),"Check Format")</f>
        <v>Check Format</v>
      </c>
      <c r="C114" s="2" t="str">
        <f aca="false">IF('Raw Data'!E114="",IFERROR(INDEX('Raw Data'!$E$2:$E$501,MATCH('Raw Data'!D114,'Raw Data'!$D$2:$D$501,0)),"Unknown Customer"),'Raw Data'!E114)</f>
        <v>Susan Powers</v>
      </c>
      <c r="D114" s="2" t="str">
        <f aca="false">PROPER(TRIM('Raw Data'!G114))</f>
        <v>Springfield</v>
      </c>
      <c r="E114" s="2" t="n">
        <f aca="false">ROUND(VALUE(SUBSTITUTE(TRIM('Raw Data'!M114),"$","")),2)</f>
        <v>2798.3</v>
      </c>
      <c r="F114" s="2" t="n">
        <f aca="false">IF('Raw Data'!O114="",0,'Raw Data'!O114)</f>
        <v>0.5</v>
      </c>
      <c r="G114" s="2" t="n">
        <f aca="false">ROUND('Raw Data'!P114,2)</f>
        <v>-639.22</v>
      </c>
      <c r="H114" s="2" t="str">
        <f aca="false">IF('Raw Data'!S114="","Medium",'Raw Data'!S114)</f>
        <v>Medium</v>
      </c>
      <c r="I114" s="2" t="str">
        <f aca="false">IF(E114&lt;100,"Small",IF(E114&lt;500,"Medium",IF(E114&lt;1500,"Large","Very Large")))</f>
        <v>Very Large</v>
      </c>
    </row>
    <row r="115" customFormat="false" ht="15" hidden="false" customHeight="false" outlineLevel="0" collapsed="false">
      <c r="A115" s="2" t="str">
        <f aca="false">'Raw Data'!A115</f>
        <v>ORD-9747</v>
      </c>
      <c r="B115" s="3" t="n">
        <f aca="false">IFERROR(DATEVALUE('Raw Data'!B115),"Check Format")</f>
        <v>45161</v>
      </c>
      <c r="C115" s="2" t="str">
        <f aca="false">IF('Raw Data'!E115="",IFERROR(INDEX('Raw Data'!$E$2:$E$501,MATCH('Raw Data'!D115,'Raw Data'!$D$2:$D$501,0)),"Unknown Customer"),'Raw Data'!E115)</f>
        <v>Mr. Michael Williams</v>
      </c>
      <c r="D115" s="2" t="str">
        <f aca="false">PROPER(TRIM('Raw Data'!G115))</f>
        <v>Baton Rouge</v>
      </c>
      <c r="E115" s="2" t="n">
        <f aca="false">ROUND(VALUE(SUBSTITUTE(TRIM('Raw Data'!M115),"$","")),2)</f>
        <v>1202.94</v>
      </c>
      <c r="F115" s="2" t="n">
        <f aca="false">IF('Raw Data'!O115="",0,'Raw Data'!O115)</f>
        <v>0</v>
      </c>
      <c r="G115" s="2" t="n">
        <f aca="false">ROUND('Raw Data'!P115,2)</f>
        <v>463.87</v>
      </c>
      <c r="H115" s="2" t="str">
        <f aca="false">IF('Raw Data'!S115="","Medium",'Raw Data'!S115)</f>
        <v>High</v>
      </c>
      <c r="I115" s="2" t="str">
        <f aca="false">IF(E115&lt;100,"Small",IF(E115&lt;500,"Medium",IF(E115&lt;1500,"Large","Very Large")))</f>
        <v>Large</v>
      </c>
    </row>
    <row r="116" customFormat="false" ht="15" hidden="false" customHeight="false" outlineLevel="0" collapsed="false">
      <c r="A116" s="2" t="str">
        <f aca="false">'Raw Data'!A116</f>
        <v>ORD-17243</v>
      </c>
      <c r="B116" s="2" t="str">
        <f aca="false">IFERROR(DATEVALUE('Raw Data'!B116),"Check Format")</f>
        <v>Check Format</v>
      </c>
      <c r="C116" s="2" t="str">
        <f aca="false">IF('Raw Data'!E116="",IFERROR(INDEX('Raw Data'!$E$2:$E$501,MATCH('Raw Data'!D116,'Raw Data'!$D$2:$D$501,0)),"Unknown Customer"),'Raw Data'!E116)</f>
        <v>Kathryn Dillon</v>
      </c>
      <c r="D116" s="2" t="str">
        <f aca="false">PROPER(TRIM('Raw Data'!G116))</f>
        <v>San Francisco</v>
      </c>
      <c r="E116" s="2" t="n">
        <f aca="false">ROUND(VALUE(SUBSTITUTE(TRIM('Raw Data'!M116),"$","")),2)</f>
        <v>2557.38</v>
      </c>
      <c r="F116" s="2" t="n">
        <f aca="false">IF('Raw Data'!O116="",0,'Raw Data'!O116)</f>
        <v>0</v>
      </c>
      <c r="G116" s="2" t="n">
        <f aca="false">ROUND('Raw Data'!P116,2)</f>
        <v>708.71</v>
      </c>
      <c r="H116" s="2" t="str">
        <f aca="false">IF('Raw Data'!S116="","Medium",'Raw Data'!S116)</f>
        <v>High</v>
      </c>
      <c r="I116" s="2" t="str">
        <f aca="false">IF(E116&lt;100,"Small",IF(E116&lt;500,"Medium",IF(E116&lt;1500,"Large","Very Large")))</f>
        <v>Very Large</v>
      </c>
    </row>
    <row r="117" customFormat="false" ht="15" hidden="false" customHeight="false" outlineLevel="0" collapsed="false">
      <c r="A117" s="2" t="str">
        <f aca="false">'Raw Data'!A117</f>
        <v>ORD-10618</v>
      </c>
      <c r="B117" s="3" t="n">
        <f aca="false">IFERROR(DATEVALUE('Raw Data'!B117),"Check Format")</f>
        <v>46162</v>
      </c>
      <c r="C117" s="2" t="str">
        <f aca="false">IF('Raw Data'!E117="",IFERROR(INDEX('Raw Data'!$E$2:$E$501,MATCH('Raw Data'!D117,'Raw Data'!$D$2:$D$501,0)),"Unknown Customer"),'Raw Data'!E117)</f>
        <v>Janet Kane DVM</v>
      </c>
      <c r="D117" s="2" t="str">
        <f aca="false">PROPER(TRIM('Raw Data'!G117))</f>
        <v>Orlando</v>
      </c>
      <c r="E117" s="2" t="n">
        <f aca="false">ROUND(VALUE(SUBSTITUTE(TRIM('Raw Data'!M117),"$","")),2)</f>
        <v>1607.05</v>
      </c>
      <c r="F117" s="2" t="n">
        <f aca="false">IF('Raw Data'!O117="",0,'Raw Data'!O117)</f>
        <v>0.4</v>
      </c>
      <c r="G117" s="2" t="n">
        <f aca="false">ROUND('Raw Data'!P117,2)</f>
        <v>62.43</v>
      </c>
      <c r="H117" s="2" t="str">
        <f aca="false">IF('Raw Data'!S117="","Medium",'Raw Data'!S117)</f>
        <v>Medium</v>
      </c>
      <c r="I117" s="2" t="str">
        <f aca="false">IF(E117&lt;100,"Small",IF(E117&lt;500,"Medium",IF(E117&lt;1500,"Large","Very Large")))</f>
        <v>Very Large</v>
      </c>
    </row>
    <row r="118" customFormat="false" ht="15" hidden="false" customHeight="false" outlineLevel="0" collapsed="false">
      <c r="A118" s="2" t="str">
        <f aca="false">'Raw Data'!A118</f>
        <v>ORD-12000</v>
      </c>
      <c r="B118" s="3" t="n">
        <f aca="false">IFERROR(DATEVALUE('Raw Data'!B118),"Check Format")</f>
        <v>45621</v>
      </c>
      <c r="C118" s="2" t="str">
        <f aca="false">IF('Raw Data'!E118="",IFERROR(INDEX('Raw Data'!$E$2:$E$501,MATCH('Raw Data'!D118,'Raw Data'!$D$2:$D$501,0)),"Unknown Customer"),'Raw Data'!E118)</f>
        <v>Destiny Obrien</v>
      </c>
      <c r="D118" s="2" t="str">
        <f aca="false">PROPER(TRIM('Raw Data'!G118))</f>
        <v>Atlanta</v>
      </c>
      <c r="E118" s="2" t="n">
        <f aca="false">ROUND(VALUE(SUBSTITUTE(TRIM('Raw Data'!M118),"$","")),2)</f>
        <v>1181.36</v>
      </c>
      <c r="F118" s="2" t="n">
        <f aca="false">IF('Raw Data'!O118="",0,'Raw Data'!O118)</f>
        <v>0.4</v>
      </c>
      <c r="G118" s="2" t="n">
        <f aca="false">ROUND('Raw Data'!P118,2)</f>
        <v>44.71</v>
      </c>
      <c r="H118" s="2" t="str">
        <f aca="false">IF('Raw Data'!S118="","Medium",'Raw Data'!S118)</f>
        <v>Medium</v>
      </c>
      <c r="I118" s="2" t="str">
        <f aca="false">IF(E118&lt;100,"Small",IF(E118&lt;500,"Medium",IF(E118&lt;1500,"Large","Very Large")))</f>
        <v>Large</v>
      </c>
    </row>
    <row r="119" customFormat="false" ht="15" hidden="false" customHeight="false" outlineLevel="0" collapsed="false">
      <c r="A119" s="2" t="str">
        <f aca="false">'Raw Data'!A119</f>
        <v>ORD-7151</v>
      </c>
      <c r="B119" s="3" t="n">
        <f aca="false">IFERROR(DATEVALUE('Raw Data'!B119),"Check Format")</f>
        <v>46161</v>
      </c>
      <c r="C119" s="2" t="str">
        <f aca="false">IF('Raw Data'!E119="",IFERROR(INDEX('Raw Data'!$E$2:$E$501,MATCH('Raw Data'!D119,'Raw Data'!$D$2:$D$501,0)),"Unknown Customer"),'Raw Data'!E119)</f>
        <v>Phillip Nelson</v>
      </c>
      <c r="D119" s="2" t="str">
        <f aca="false">PROPER(TRIM('Raw Data'!G119))</f>
        <v>Lexington</v>
      </c>
      <c r="E119" s="2" t="n">
        <f aca="false">ROUND(VALUE(SUBSTITUTE(TRIM('Raw Data'!M119),"$","")),2)</f>
        <v>97.35</v>
      </c>
      <c r="F119" s="2" t="n">
        <f aca="false">IF('Raw Data'!O119="",0,'Raw Data'!O119)</f>
        <v>0.2</v>
      </c>
      <c r="G119" s="2" t="n">
        <f aca="false">ROUND('Raw Data'!P119,2)</f>
        <v>21.87</v>
      </c>
      <c r="H119" s="2" t="str">
        <f aca="false">IF('Raw Data'!S119="","Medium",'Raw Data'!S119)</f>
        <v>Low</v>
      </c>
      <c r="I119" s="2" t="str">
        <f aca="false">IF(E119&lt;100,"Small",IF(E119&lt;500,"Medium",IF(E119&lt;1500,"Large","Very Large")))</f>
        <v>Small</v>
      </c>
    </row>
    <row r="120" customFormat="false" ht="15" hidden="false" customHeight="false" outlineLevel="0" collapsed="false">
      <c r="A120" s="2" t="str">
        <f aca="false">'Raw Data'!A120</f>
        <v>ORD-3321</v>
      </c>
      <c r="B120" s="3" t="n">
        <f aca="false">IFERROR(DATEVALUE('Raw Data'!B120),"Check Format")</f>
        <v>45919</v>
      </c>
      <c r="C120" s="2" t="str">
        <f aca="false">IF('Raw Data'!E120="",IFERROR(INDEX('Raw Data'!$E$2:$E$501,MATCH('Raw Data'!D120,'Raw Data'!$D$2:$D$501,0)),"Unknown Customer"),'Raw Data'!E120)</f>
        <v>Dawn Mullins</v>
      </c>
      <c r="D120" s="2" t="str">
        <f aca="false">PROPER(TRIM('Raw Data'!G120))</f>
        <v>Birmingham</v>
      </c>
      <c r="E120" s="2" t="n">
        <f aca="false">ROUND(VALUE(SUBSTITUTE(TRIM('Raw Data'!M120),"$","")),2)</f>
        <v>2026.31</v>
      </c>
      <c r="F120" s="2" t="n">
        <f aca="false">IF('Raw Data'!O120="",0,'Raw Data'!O120)</f>
        <v>0.15</v>
      </c>
      <c r="G120" s="2" t="n">
        <f aca="false">ROUND('Raw Data'!P120,2)</f>
        <v>36.21</v>
      </c>
      <c r="H120" s="2" t="str">
        <f aca="false">IF('Raw Data'!S120="","Medium",'Raw Data'!S120)</f>
        <v>Low</v>
      </c>
      <c r="I120" s="2" t="str">
        <f aca="false">IF(E120&lt;100,"Small",IF(E120&lt;500,"Medium",IF(E120&lt;1500,"Large","Very Large")))</f>
        <v>Very Large</v>
      </c>
    </row>
    <row r="121" customFormat="false" ht="15" hidden="false" customHeight="false" outlineLevel="0" collapsed="false">
      <c r="A121" s="2" t="str">
        <f aca="false">'Raw Data'!A121</f>
        <v>ORD-7457</v>
      </c>
      <c r="B121" s="2" t="str">
        <f aca="false">IFERROR(DATEVALUE('Raw Data'!B121),"Check Format")</f>
        <v>Check Format</v>
      </c>
      <c r="C121" s="2" t="str">
        <f aca="false">IF('Raw Data'!E121="",IFERROR(INDEX('Raw Data'!$E$2:$E$501,MATCH('Raw Data'!D121,'Raw Data'!$D$2:$D$501,0)),"Unknown Customer"),'Raw Data'!E121)</f>
        <v>Suzanne Bailey</v>
      </c>
      <c r="D121" s="2" t="str">
        <f aca="false">PROPER(TRIM('Raw Data'!G121))</f>
        <v>Boulder</v>
      </c>
      <c r="E121" s="2" t="n">
        <f aca="false">ROUND(VALUE(SUBSTITUTE(TRIM('Raw Data'!M121),"$","")),2)</f>
        <v>5525.4</v>
      </c>
      <c r="F121" s="2" t="n">
        <f aca="false">IF('Raw Data'!O121="",0,'Raw Data'!O121)</f>
        <v>0.5</v>
      </c>
      <c r="G121" s="2" t="n">
        <f aca="false">ROUND('Raw Data'!P121,2)</f>
        <v>-1914</v>
      </c>
      <c r="H121" s="2" t="str">
        <f aca="false">IF('Raw Data'!S121="","Medium",'Raw Data'!S121)</f>
        <v>Low</v>
      </c>
      <c r="I121" s="2" t="str">
        <f aca="false">IF(E121&lt;100,"Small",IF(E121&lt;500,"Medium",IF(E121&lt;1500,"Large","Very Large")))</f>
        <v>Very Large</v>
      </c>
    </row>
    <row r="122" customFormat="false" ht="15" hidden="false" customHeight="false" outlineLevel="0" collapsed="false">
      <c r="A122" s="2" t="str">
        <f aca="false">'Raw Data'!A122</f>
        <v>ORD-9560</v>
      </c>
      <c r="B122" s="2" t="str">
        <f aca="false">IFERROR(DATEVALUE('Raw Data'!B122),"Check Format")</f>
        <v>Check Format</v>
      </c>
      <c r="C122" s="2" t="str">
        <f aca="false">IF('Raw Data'!E122="",IFERROR(INDEX('Raw Data'!$E$2:$E$501,MATCH('Raw Data'!D122,'Raw Data'!$D$2:$D$501,0)),"Unknown Customer"),'Raw Data'!E122)</f>
        <v>Michael Miles</v>
      </c>
      <c r="D122" s="2" t="str">
        <f aca="false">PROPER(TRIM('Raw Data'!G122))</f>
        <v>Montgomery</v>
      </c>
      <c r="E122" s="2" t="n">
        <f aca="false">ROUND(VALUE(SUBSTITUTE(TRIM('Raw Data'!M122),"$","")),2)</f>
        <v>60.15</v>
      </c>
      <c r="F122" s="2" t="n">
        <f aca="false">IF('Raw Data'!O122="",0,'Raw Data'!O122)</f>
        <v>0.1</v>
      </c>
      <c r="G122" s="2" t="n">
        <f aca="false">ROUND('Raw Data'!P122,2)</f>
        <v>19.2</v>
      </c>
      <c r="H122" s="2" t="str">
        <f aca="false">IF('Raw Data'!S122="","Medium",'Raw Data'!S122)</f>
        <v>High</v>
      </c>
      <c r="I122" s="2" t="str">
        <f aca="false">IF(E122&lt;100,"Small",IF(E122&lt;500,"Medium",IF(E122&lt;1500,"Large","Very Large")))</f>
        <v>Small</v>
      </c>
    </row>
    <row r="123" customFormat="false" ht="15" hidden="false" customHeight="false" outlineLevel="0" collapsed="false">
      <c r="A123" s="2" t="str">
        <f aca="false">'Raw Data'!A123</f>
        <v>ORD-5914</v>
      </c>
      <c r="B123" s="3" t="n">
        <f aca="false">IFERROR(DATEVALUE('Raw Data'!B123),"Check Format")</f>
        <v>45508</v>
      </c>
      <c r="C123" s="2" t="str">
        <f aca="false">IF('Raw Data'!E123="",IFERROR(INDEX('Raw Data'!$E$2:$E$501,MATCH('Raw Data'!D123,'Raw Data'!$D$2:$D$501,0)),"Unknown Customer"),'Raw Data'!E123)</f>
        <v>Kenneth Edwards</v>
      </c>
      <c r="D123" s="2" t="str">
        <f aca="false">PROPER(TRIM('Raw Data'!G123))</f>
        <v>Louisville</v>
      </c>
      <c r="E123" s="2" t="n">
        <f aca="false">ROUND(VALUE(SUBSTITUTE(TRIM('Raw Data'!M123),"$","")),2)</f>
        <v>198.92</v>
      </c>
      <c r="F123" s="2" t="n">
        <f aca="false">IF('Raw Data'!O123="",0,'Raw Data'!O123)</f>
        <v>0.3</v>
      </c>
      <c r="G123" s="2" t="n">
        <f aca="false">ROUND('Raw Data'!P123,2)</f>
        <v>8.36</v>
      </c>
      <c r="H123" s="2" t="str">
        <f aca="false">IF('Raw Data'!S123="","Medium",'Raw Data'!S123)</f>
        <v>Critical</v>
      </c>
      <c r="I123" s="2" t="str">
        <f aca="false">IF(E123&lt;100,"Small",IF(E123&lt;500,"Medium",IF(E123&lt;1500,"Large","Very Large")))</f>
        <v>Medium</v>
      </c>
    </row>
    <row r="124" customFormat="false" ht="15" hidden="false" customHeight="false" outlineLevel="0" collapsed="false">
      <c r="A124" s="2" t="str">
        <f aca="false">'Raw Data'!A124</f>
        <v>ORD-7476</v>
      </c>
      <c r="B124" s="3" t="n">
        <f aca="false">IFERROR(DATEVALUE('Raw Data'!B124),"Check Format")</f>
        <v>45329</v>
      </c>
      <c r="C124" s="2" t="str">
        <f aca="false">IF('Raw Data'!E124="",IFERROR(INDEX('Raw Data'!$E$2:$E$501,MATCH('Raw Data'!D124,'Raw Data'!$D$2:$D$501,0)),"Unknown Customer"),'Raw Data'!E124)</f>
        <v>Michelle Walls</v>
      </c>
      <c r="D124" s="2" t="str">
        <f aca="false">PROPER(TRIM('Raw Data'!G124))</f>
        <v>Columbus</v>
      </c>
      <c r="E124" s="2" t="n">
        <f aca="false">ROUND(VALUE(SUBSTITUTE(TRIM('Raw Data'!M124),"$","")),2)</f>
        <v>1680.32</v>
      </c>
      <c r="F124" s="2" t="n">
        <f aca="false">IF('Raw Data'!O124="",0,'Raw Data'!O124)</f>
        <v>0</v>
      </c>
      <c r="G124" s="2" t="n">
        <f aca="false">ROUND('Raw Data'!P124,2)</f>
        <v>594.24</v>
      </c>
      <c r="H124" s="2" t="str">
        <f aca="false">IF('Raw Data'!S124="","Medium",'Raw Data'!S124)</f>
        <v>Medium</v>
      </c>
      <c r="I124" s="2" t="str">
        <f aca="false">IF(E124&lt;100,"Small",IF(E124&lt;500,"Medium",IF(E124&lt;1500,"Large","Very Large")))</f>
        <v>Very Large</v>
      </c>
    </row>
    <row r="125" customFormat="false" ht="15" hidden="false" customHeight="false" outlineLevel="0" collapsed="false">
      <c r="A125" s="2" t="str">
        <f aca="false">'Raw Data'!A125</f>
        <v>ORD-11611</v>
      </c>
      <c r="B125" s="3" t="n">
        <f aca="false">IFERROR(DATEVALUE('Raw Data'!B125),"Check Format")</f>
        <v>46099</v>
      </c>
      <c r="C125" s="2" t="str">
        <f aca="false">IF('Raw Data'!E125="",IFERROR(INDEX('Raw Data'!$E$2:$E$501,MATCH('Raw Data'!D125,'Raw Data'!$D$2:$D$501,0)),"Unknown Customer"),'Raw Data'!E125)</f>
        <v>Sophia Johnson</v>
      </c>
      <c r="D125" s="2" t="str">
        <f aca="false">PROPER(TRIM('Raw Data'!G125))</f>
        <v>Louisville</v>
      </c>
      <c r="E125" s="2" t="n">
        <f aca="false">ROUND(VALUE(SUBSTITUTE(TRIM('Raw Data'!M125),"$","")),2)</f>
        <v>6839.52</v>
      </c>
      <c r="F125" s="2" t="n">
        <f aca="false">IF('Raw Data'!O125="",0,'Raw Data'!O125)</f>
        <v>0.1</v>
      </c>
      <c r="G125" s="2" t="n">
        <f aca="false">ROUND('Raw Data'!P125,2)</f>
        <v>1792.39</v>
      </c>
      <c r="H125" s="2" t="str">
        <f aca="false">IF('Raw Data'!S125="","Medium",'Raw Data'!S125)</f>
        <v>Medium</v>
      </c>
      <c r="I125" s="2" t="str">
        <f aca="false">IF(E125&lt;100,"Small",IF(E125&lt;500,"Medium",IF(E125&lt;1500,"Large","Very Large")))</f>
        <v>Very Large</v>
      </c>
    </row>
    <row r="126" customFormat="false" ht="15" hidden="false" customHeight="false" outlineLevel="0" collapsed="false">
      <c r="A126" s="2" t="str">
        <f aca="false">'Raw Data'!A126</f>
        <v>ORD-17325</v>
      </c>
      <c r="B126" s="2" t="str">
        <f aca="false">IFERROR(DATEVALUE('Raw Data'!B126),"Check Format")</f>
        <v>Check Format</v>
      </c>
      <c r="C126" s="2" t="str">
        <f aca="false">IF('Raw Data'!E126="",IFERROR(INDEX('Raw Data'!$E$2:$E$501,MATCH('Raw Data'!D126,'Raw Data'!$D$2:$D$501,0)),"Unknown Customer"),'Raw Data'!E126)</f>
        <v>Haley Johnson</v>
      </c>
      <c r="D126" s="2" t="str">
        <f aca="false">PROPER(TRIM('Raw Data'!G126))</f>
        <v>Louisville</v>
      </c>
      <c r="E126" s="2" t="n">
        <f aca="false">ROUND(VALUE(SUBSTITUTE(TRIM('Raw Data'!M126),"$","")),2)</f>
        <v>11085.72</v>
      </c>
      <c r="F126" s="2" t="n">
        <f aca="false">IF('Raw Data'!O126="",0,'Raw Data'!O126)</f>
        <v>0.1</v>
      </c>
      <c r="G126" s="2" t="n">
        <f aca="false">ROUND('Raw Data'!P126,2)</f>
        <v>3168.58</v>
      </c>
      <c r="H126" s="2" t="str">
        <f aca="false">IF('Raw Data'!S126="","Medium",'Raw Data'!S126)</f>
        <v>Low</v>
      </c>
      <c r="I126" s="2" t="str">
        <f aca="false">IF(E126&lt;100,"Small",IF(E126&lt;500,"Medium",IF(E126&lt;1500,"Large","Very Large")))</f>
        <v>Very Large</v>
      </c>
    </row>
    <row r="127" customFormat="false" ht="15" hidden="false" customHeight="false" outlineLevel="0" collapsed="false">
      <c r="A127" s="2" t="str">
        <f aca="false">'Raw Data'!A127</f>
        <v>ORD-17930</v>
      </c>
      <c r="B127" s="2" t="str">
        <f aca="false">IFERROR(DATEVALUE('Raw Data'!B127),"Check Format")</f>
        <v>Check Format</v>
      </c>
      <c r="C127" s="2" t="str">
        <f aca="false">IF('Raw Data'!E127="",IFERROR(INDEX('Raw Data'!$E$2:$E$501,MATCH('Raw Data'!D127,'Raw Data'!$D$2:$D$501,0)),"Unknown Customer"),'Raw Data'!E127)</f>
        <v>Derrick Anderson</v>
      </c>
      <c r="D127" s="2" t="str">
        <f aca="false">PROPER(TRIM('Raw Data'!G127))</f>
        <v>Kansas City</v>
      </c>
      <c r="E127" s="2" t="n">
        <f aca="false">ROUND(VALUE(SUBSTITUTE(TRIM('Raw Data'!M127),"$","")),2)</f>
        <v>1166.4</v>
      </c>
      <c r="F127" s="2" t="n">
        <f aca="false">IF('Raw Data'!O127="",0,'Raw Data'!O127)</f>
        <v>0.3</v>
      </c>
      <c r="G127" s="2" t="n">
        <f aca="false">ROUND('Raw Data'!P127,2)</f>
        <v>45.83</v>
      </c>
      <c r="H127" s="2" t="str">
        <f aca="false">IF('Raw Data'!S127="","Medium",'Raw Data'!S127)</f>
        <v>Medium</v>
      </c>
      <c r="I127" s="2" t="str">
        <f aca="false">IF(E127&lt;100,"Small",IF(E127&lt;500,"Medium",IF(E127&lt;1500,"Large","Very Large")))</f>
        <v>Large</v>
      </c>
    </row>
    <row r="128" customFormat="false" ht="15" hidden="false" customHeight="false" outlineLevel="0" collapsed="false">
      <c r="A128" s="2" t="str">
        <f aca="false">'Raw Data'!A128</f>
        <v>ORD-14403</v>
      </c>
      <c r="B128" s="3" t="n">
        <f aca="false">IFERROR(DATEVALUE('Raw Data'!B128),"Check Format")</f>
        <v>46110</v>
      </c>
      <c r="C128" s="2" t="str">
        <f aca="false">IF('Raw Data'!E128="",IFERROR(INDEX('Raw Data'!$E$2:$E$501,MATCH('Raw Data'!D128,'Raw Data'!$D$2:$D$501,0)),"Unknown Customer"),'Raw Data'!E128)</f>
        <v>Emma Owens</v>
      </c>
      <c r="D128" s="2" t="str">
        <f aca="false">PROPER(TRIM('Raw Data'!G128))</f>
        <v>Boston</v>
      </c>
      <c r="E128" s="2" t="n">
        <f aca="false">ROUND(VALUE(SUBSTITUTE(TRIM('Raw Data'!M128),"$","")),2)</f>
        <v>2487.69</v>
      </c>
      <c r="F128" s="2" t="n">
        <f aca="false">IF('Raw Data'!O128="",0,'Raw Data'!O128)</f>
        <v>0</v>
      </c>
      <c r="G128" s="2" t="n">
        <f aca="false">ROUND('Raw Data'!P128,2)</f>
        <v>834.38</v>
      </c>
      <c r="H128" s="2" t="str">
        <f aca="false">IF('Raw Data'!S128="","Medium",'Raw Data'!S128)</f>
        <v>Low</v>
      </c>
      <c r="I128" s="2" t="str">
        <f aca="false">IF(E128&lt;100,"Small",IF(E128&lt;500,"Medium",IF(E128&lt;1500,"Large","Very Large")))</f>
        <v>Very Large</v>
      </c>
    </row>
    <row r="129" customFormat="false" ht="15" hidden="false" customHeight="false" outlineLevel="0" collapsed="false">
      <c r="A129" s="2" t="str">
        <f aca="false">'Raw Data'!A129</f>
        <v>ORD-12984</v>
      </c>
      <c r="B129" s="3" t="n">
        <f aca="false">IFERROR(DATEVALUE('Raw Data'!B129),"Check Format")</f>
        <v>45716</v>
      </c>
      <c r="C129" s="2" t="str">
        <f aca="false">IF('Raw Data'!E129="",IFERROR(INDEX('Raw Data'!$E$2:$E$501,MATCH('Raw Data'!D129,'Raw Data'!$D$2:$D$501,0)),"Unknown Customer"),'Raw Data'!E129)</f>
        <v>Jessica Smith</v>
      </c>
      <c r="D129" s="2" t="str">
        <f aca="false">PROPER(TRIM('Raw Data'!G129))</f>
        <v>Memphis</v>
      </c>
      <c r="E129" s="2" t="n">
        <f aca="false">ROUND(VALUE(SUBSTITUTE(TRIM('Raw Data'!M129),"$","")),2)</f>
        <v>256.1</v>
      </c>
      <c r="F129" s="2" t="n">
        <f aca="false">IF('Raw Data'!O129="",0,'Raw Data'!O129)</f>
        <v>0</v>
      </c>
      <c r="G129" s="2" t="n">
        <f aca="false">ROUND('Raw Data'!P129,2)</f>
        <v>91.96</v>
      </c>
      <c r="H129" s="2" t="str">
        <f aca="false">IF('Raw Data'!S129="","Medium",'Raw Data'!S129)</f>
        <v>Low</v>
      </c>
      <c r="I129" s="2" t="str">
        <f aca="false">IF(E129&lt;100,"Small",IF(E129&lt;500,"Medium",IF(E129&lt;1500,"Large","Very Large")))</f>
        <v>Medium</v>
      </c>
    </row>
    <row r="130" customFormat="false" ht="15" hidden="false" customHeight="false" outlineLevel="0" collapsed="false">
      <c r="A130" s="2" t="str">
        <f aca="false">'Raw Data'!A130</f>
        <v>ORD-5186</v>
      </c>
      <c r="B130" s="3" t="n">
        <f aca="false">IFERROR(DATEVALUE('Raw Data'!B130),"Check Format")</f>
        <v>45989</v>
      </c>
      <c r="C130" s="2" t="str">
        <f aca="false">IF('Raw Data'!E130="",IFERROR(INDEX('Raw Data'!$E$2:$E$501,MATCH('Raw Data'!D130,'Raw Data'!$D$2:$D$501,0)),"Unknown Customer"),'Raw Data'!E130)</f>
        <v>Amy Kelley</v>
      </c>
      <c r="D130" s="2" t="str">
        <f aca="false">PROPER(TRIM('Raw Data'!G130))</f>
        <v>Las Vegas</v>
      </c>
      <c r="E130" s="2" t="n">
        <f aca="false">ROUND(VALUE(SUBSTITUTE(TRIM('Raw Data'!M130),"$","")),2)</f>
        <v>5702.8</v>
      </c>
      <c r="F130" s="2" t="n">
        <f aca="false">IF('Raw Data'!O130="",0,'Raw Data'!O130)</f>
        <v>0.15</v>
      </c>
      <c r="G130" s="2" t="n">
        <f aca="false">ROUND('Raw Data'!P130,2)</f>
        <v>518.18</v>
      </c>
      <c r="H130" s="2" t="str">
        <f aca="false">IF('Raw Data'!S130="","Medium",'Raw Data'!S130)</f>
        <v>Critical</v>
      </c>
      <c r="I130" s="2" t="str">
        <f aca="false">IF(E130&lt;100,"Small",IF(E130&lt;500,"Medium",IF(E130&lt;1500,"Large","Very Large")))</f>
        <v>Very Large</v>
      </c>
    </row>
    <row r="131" customFormat="false" ht="15" hidden="false" customHeight="false" outlineLevel="0" collapsed="false">
      <c r="A131" s="2" t="str">
        <f aca="false">'Raw Data'!A131</f>
        <v>ORD-17158</v>
      </c>
      <c r="B131" s="3" t="n">
        <f aca="false">IFERROR(DATEVALUE('Raw Data'!B131),"Check Format")</f>
        <v>45998</v>
      </c>
      <c r="C131" s="2" t="str">
        <f aca="false">IF('Raw Data'!E131="",IFERROR(INDEX('Raw Data'!$E$2:$E$501,MATCH('Raw Data'!D131,'Raw Data'!$D$2:$D$501,0)),"Unknown Customer"),'Raw Data'!E131)</f>
        <v>Robin Thompson</v>
      </c>
      <c r="D131" s="2" t="str">
        <f aca="false">PROPER(TRIM('Raw Data'!G131))</f>
        <v>Birmingham</v>
      </c>
      <c r="E131" s="2" t="n">
        <f aca="false">ROUND(VALUE(SUBSTITUTE(TRIM('Raw Data'!M131),"$","")),2)</f>
        <v>258.84</v>
      </c>
      <c r="F131" s="2" t="n">
        <f aca="false">IF('Raw Data'!O131="",0,'Raw Data'!O131)</f>
        <v>0.1</v>
      </c>
      <c r="G131" s="2" t="n">
        <f aca="false">ROUND('Raw Data'!P131,2)</f>
        <v>48.1</v>
      </c>
      <c r="H131" s="2" t="str">
        <f aca="false">IF('Raw Data'!S131="","Medium",'Raw Data'!S131)</f>
        <v>Medium</v>
      </c>
      <c r="I131" s="2" t="str">
        <f aca="false">IF(E131&lt;100,"Small",IF(E131&lt;500,"Medium",IF(E131&lt;1500,"Large","Very Large")))</f>
        <v>Medium</v>
      </c>
    </row>
    <row r="132" customFormat="false" ht="15" hidden="false" customHeight="false" outlineLevel="0" collapsed="false">
      <c r="A132" s="2" t="str">
        <f aca="false">'Raw Data'!A132</f>
        <v>ORD-12275</v>
      </c>
      <c r="B132" s="3" t="n">
        <f aca="false">IFERROR(DATEVALUE('Raw Data'!B132),"Check Format")</f>
        <v>46027</v>
      </c>
      <c r="C132" s="2" t="str">
        <f aca="false">IF('Raw Data'!E132="",IFERROR(INDEX('Raw Data'!$E$2:$E$501,MATCH('Raw Data'!D132,'Raw Data'!$D$2:$D$501,0)),"Unknown Customer"),'Raw Data'!E132)</f>
        <v>Mr. Justin Green III</v>
      </c>
      <c r="D132" s="2" t="str">
        <f aca="false">PROPER(TRIM('Raw Data'!G132))</f>
        <v>Louisville</v>
      </c>
      <c r="E132" s="2" t="n">
        <f aca="false">ROUND(VALUE(SUBSTITUTE(TRIM('Raw Data'!M132),"$","")),2)</f>
        <v>132.81</v>
      </c>
      <c r="F132" s="2" t="n">
        <f aca="false">IF('Raw Data'!O132="",0,'Raw Data'!O132)</f>
        <v>0.1</v>
      </c>
      <c r="G132" s="2" t="n">
        <f aca="false">ROUND('Raw Data'!P132,2)</f>
        <v>18.07</v>
      </c>
      <c r="H132" s="2" t="str">
        <f aca="false">IF('Raw Data'!S132="","Medium",'Raw Data'!S132)</f>
        <v>Critical</v>
      </c>
      <c r="I132" s="2" t="str">
        <f aca="false">IF(E132&lt;100,"Small",IF(E132&lt;500,"Medium",IF(E132&lt;1500,"Large","Very Large")))</f>
        <v>Medium</v>
      </c>
    </row>
    <row r="133" customFormat="false" ht="15" hidden="false" customHeight="false" outlineLevel="0" collapsed="false">
      <c r="A133" s="2" t="str">
        <f aca="false">'Raw Data'!A133</f>
        <v>ORD-7923</v>
      </c>
      <c r="B133" s="3" t="n">
        <f aca="false">IFERROR(DATEVALUE('Raw Data'!B133),"Check Format")</f>
        <v>45696</v>
      </c>
      <c r="C133" s="2" t="str">
        <f aca="false">IF('Raw Data'!E133="",IFERROR(INDEX('Raw Data'!$E$2:$E$501,MATCH('Raw Data'!D133,'Raw Data'!$D$2:$D$501,0)),"Unknown Customer"),'Raw Data'!E133)</f>
        <v>Tina Walter</v>
      </c>
      <c r="D133" s="2" t="str">
        <f aca="false">PROPER(TRIM('Raw Data'!G133))</f>
        <v>San Diego</v>
      </c>
      <c r="E133" s="2" t="n">
        <f aca="false">ROUND(VALUE(SUBSTITUTE(TRIM('Raw Data'!M133),"$","")),2)</f>
        <v>8031.72</v>
      </c>
      <c r="F133" s="2" t="n">
        <f aca="false">IF('Raw Data'!O133="",0,'Raw Data'!O133)</f>
        <v>0.3</v>
      </c>
      <c r="G133" s="2" t="n">
        <f aca="false">ROUND('Raw Data'!P133,2)</f>
        <v>-1019.28</v>
      </c>
      <c r="H133" s="2" t="str">
        <f aca="false">IF('Raw Data'!S133="","Medium",'Raw Data'!S133)</f>
        <v>High</v>
      </c>
      <c r="I133" s="2" t="str">
        <f aca="false">IF(E133&lt;100,"Small",IF(E133&lt;500,"Medium",IF(E133&lt;1500,"Large","Very Large")))</f>
        <v>Very Large</v>
      </c>
    </row>
    <row r="134" customFormat="false" ht="15" hidden="false" customHeight="false" outlineLevel="0" collapsed="false">
      <c r="A134" s="2" t="str">
        <f aca="false">'Raw Data'!A134</f>
        <v>ORD-3155</v>
      </c>
      <c r="B134" s="3" t="n">
        <f aca="false">IFERROR(DATEVALUE('Raw Data'!B134),"Check Format")</f>
        <v>45628</v>
      </c>
      <c r="C134" s="2" t="str">
        <f aca="false">IF('Raw Data'!E134="",IFERROR(INDEX('Raw Data'!$E$2:$E$501,MATCH('Raw Data'!D134,'Raw Data'!$D$2:$D$501,0)),"Unknown Customer"),'Raw Data'!E134)</f>
        <v>Matthew Davis MD</v>
      </c>
      <c r="D134" s="2" t="str">
        <f aca="false">PROPER(TRIM('Raw Data'!G134))</f>
        <v>Orlando</v>
      </c>
      <c r="E134" s="2" t="n">
        <f aca="false">ROUND(VALUE(SUBSTITUTE(TRIM('Raw Data'!M134),"$","")),2)</f>
        <v>865.44</v>
      </c>
      <c r="F134" s="2" t="n">
        <f aca="false">IF('Raw Data'!O134="",0,'Raw Data'!O134)</f>
        <v>0.5</v>
      </c>
      <c r="G134" s="2" t="n">
        <f aca="false">ROUND('Raw Data'!P134,2)</f>
        <v>-300.39</v>
      </c>
      <c r="H134" s="2" t="str">
        <f aca="false">IF('Raw Data'!S134="","Medium",'Raw Data'!S134)</f>
        <v>Low</v>
      </c>
      <c r="I134" s="2" t="str">
        <f aca="false">IF(E134&lt;100,"Small",IF(E134&lt;500,"Medium",IF(E134&lt;1500,"Large","Very Large")))</f>
        <v>Large</v>
      </c>
    </row>
    <row r="135" customFormat="false" ht="15" hidden="false" customHeight="false" outlineLevel="0" collapsed="false">
      <c r="A135" s="2" t="str">
        <f aca="false">'Raw Data'!A135</f>
        <v>ORD-11286</v>
      </c>
      <c r="B135" s="2" t="str">
        <f aca="false">IFERROR(DATEVALUE('Raw Data'!B135),"Check Format")</f>
        <v>Check Format</v>
      </c>
      <c r="C135" s="2" t="str">
        <f aca="false">IF('Raw Data'!E135="",IFERROR(INDEX('Raw Data'!$E$2:$E$501,MATCH('Raw Data'!D135,'Raw Data'!$D$2:$D$501,0)),"Unknown Customer"),'Raw Data'!E135)</f>
        <v>Joseph Haynes</v>
      </c>
      <c r="D135" s="2" t="str">
        <f aca="false">PROPER(TRIM('Raw Data'!G135))</f>
        <v>Ann Arbor</v>
      </c>
      <c r="E135" s="2" t="n">
        <f aca="false">ROUND(VALUE(SUBSTITUTE(TRIM('Raw Data'!M135),"$","")),2)</f>
        <v>2784.24</v>
      </c>
      <c r="F135" s="2" t="n">
        <f aca="false">IF('Raw Data'!O135="",0,'Raw Data'!O135)</f>
        <v>0.5</v>
      </c>
      <c r="G135" s="2" t="n">
        <f aca="false">ROUND('Raw Data'!P135,2)</f>
        <v>-351.55</v>
      </c>
      <c r="H135" s="2" t="str">
        <f aca="false">IF('Raw Data'!S135="","Medium",'Raw Data'!S135)</f>
        <v>Low</v>
      </c>
      <c r="I135" s="2" t="str">
        <f aca="false">IF(E135&lt;100,"Small",IF(E135&lt;500,"Medium",IF(E135&lt;1500,"Large","Very Large")))</f>
        <v>Very Large</v>
      </c>
    </row>
    <row r="136" customFormat="false" ht="15" hidden="false" customHeight="false" outlineLevel="0" collapsed="false">
      <c r="A136" s="2" t="str">
        <f aca="false">'Raw Data'!A136</f>
        <v>ORD-12770</v>
      </c>
      <c r="B136" s="3" t="n">
        <f aca="false">IFERROR(DATEVALUE('Raw Data'!B136),"Check Format")</f>
        <v>45694</v>
      </c>
      <c r="C136" s="2" t="str">
        <f aca="false">IF('Raw Data'!E136="",IFERROR(INDEX('Raw Data'!$E$2:$E$501,MATCH('Raw Data'!D136,'Raw Data'!$D$2:$D$501,0)),"Unknown Customer"),'Raw Data'!E136)</f>
        <v>Trevor Johnson</v>
      </c>
      <c r="D136" s="2" t="str">
        <f aca="false">PROPER(TRIM('Raw Data'!G136))</f>
        <v>Spokane</v>
      </c>
      <c r="E136" s="2" t="n">
        <f aca="false">ROUND(VALUE(SUBSTITUTE(TRIM('Raw Data'!M136),"$","")),2)</f>
        <v>1353.96</v>
      </c>
      <c r="F136" s="2" t="n">
        <f aca="false">IF('Raw Data'!O136="",0,'Raw Data'!O136)</f>
        <v>0</v>
      </c>
      <c r="G136" s="2" t="n">
        <f aca="false">ROUND('Raw Data'!P136,2)</f>
        <v>312.33</v>
      </c>
      <c r="H136" s="2" t="str">
        <f aca="false">IF('Raw Data'!S136="","Medium",'Raw Data'!S136)</f>
        <v>Critical</v>
      </c>
      <c r="I136" s="2" t="str">
        <f aca="false">IF(E136&lt;100,"Small",IF(E136&lt;500,"Medium",IF(E136&lt;1500,"Large","Very Large")))</f>
        <v>Large</v>
      </c>
    </row>
    <row r="137" customFormat="false" ht="15" hidden="false" customHeight="false" outlineLevel="0" collapsed="false">
      <c r="A137" s="2" t="str">
        <f aca="false">'Raw Data'!A137</f>
        <v>ORD-9427</v>
      </c>
      <c r="B137" s="2" t="str">
        <f aca="false">IFERROR(DATEVALUE('Raw Data'!B137),"Check Format")</f>
        <v>Check Format</v>
      </c>
      <c r="C137" s="2" t="str">
        <f aca="false">IF('Raw Data'!E137="",IFERROR(INDEX('Raw Data'!$E$2:$E$501,MATCH('Raw Data'!D137,'Raw Data'!$D$2:$D$501,0)),"Unknown Customer"),'Raw Data'!E137)</f>
        <v>Eugene Baldwin</v>
      </c>
      <c r="D137" s="2" t="str">
        <f aca="false">PROPER(TRIM('Raw Data'!G137))</f>
        <v>Birmingham</v>
      </c>
      <c r="E137" s="2" t="n">
        <f aca="false">ROUND(VALUE(SUBSTITUTE(TRIM('Raw Data'!M137),"$","")),2)</f>
        <v>4247.76</v>
      </c>
      <c r="F137" s="2" t="n">
        <f aca="false">IF('Raw Data'!O137="",0,'Raw Data'!O137)</f>
        <v>0.3</v>
      </c>
      <c r="G137" s="2" t="n">
        <f aca="false">ROUND('Raw Data'!P137,2)</f>
        <v>48.02</v>
      </c>
      <c r="H137" s="2" t="str">
        <f aca="false">IF('Raw Data'!S137="","Medium",'Raw Data'!S137)</f>
        <v>Medium</v>
      </c>
      <c r="I137" s="2" t="str">
        <f aca="false">IF(E137&lt;100,"Small",IF(E137&lt;500,"Medium",IF(E137&lt;1500,"Large","Very Large")))</f>
        <v>Very Large</v>
      </c>
    </row>
    <row r="138" customFormat="false" ht="15" hidden="false" customHeight="false" outlineLevel="0" collapsed="false">
      <c r="A138" s="2" t="str">
        <f aca="false">'Raw Data'!A138</f>
        <v>ORD-10590</v>
      </c>
      <c r="B138" s="3" t="n">
        <f aca="false">IFERROR(DATEVALUE('Raw Data'!B138),"Check Format")</f>
        <v>45336</v>
      </c>
      <c r="C138" s="2" t="str">
        <f aca="false">IF('Raw Data'!E138="",IFERROR(INDEX('Raw Data'!$E$2:$E$501,MATCH('Raw Data'!D138,'Raw Data'!$D$2:$D$501,0)),"Unknown Customer"),'Raw Data'!E138)</f>
        <v>Sara Fuller</v>
      </c>
      <c r="D138" s="2" t="str">
        <f aca="false">PROPER(TRIM('Raw Data'!G138))</f>
        <v>Albany</v>
      </c>
      <c r="E138" s="2" t="n">
        <f aca="false">ROUND(VALUE(SUBSTITUTE(TRIM('Raw Data'!M138),"$","")),2)</f>
        <v>1018.05</v>
      </c>
      <c r="F138" s="2" t="n">
        <f aca="false">IF('Raw Data'!O138="",0,'Raw Data'!O138)</f>
        <v>0.15</v>
      </c>
      <c r="G138" s="2" t="n">
        <f aca="false">ROUND('Raw Data'!P138,2)</f>
        <v>68.3</v>
      </c>
      <c r="H138" s="2" t="str">
        <f aca="false">IF('Raw Data'!S138="","Medium",'Raw Data'!S138)</f>
        <v>Low</v>
      </c>
      <c r="I138" s="2" t="str">
        <f aca="false">IF(E138&lt;100,"Small",IF(E138&lt;500,"Medium",IF(E138&lt;1500,"Large","Very Large")))</f>
        <v>Large</v>
      </c>
    </row>
    <row r="139" customFormat="false" ht="15" hidden="false" customHeight="false" outlineLevel="0" collapsed="false">
      <c r="A139" s="2" t="str">
        <f aca="false">'Raw Data'!A139</f>
        <v>ORD-7930</v>
      </c>
      <c r="B139" s="3" t="n">
        <f aca="false">IFERROR(DATEVALUE('Raw Data'!B139),"Check Format")</f>
        <v>45717</v>
      </c>
      <c r="C139" s="2" t="str">
        <f aca="false">IF('Raw Data'!E139="",IFERROR(INDEX('Raw Data'!$E$2:$E$501,MATCH('Raw Data'!D139,'Raw Data'!$D$2:$D$501,0)),"Unknown Customer"),'Raw Data'!E139)</f>
        <v>Anna Walker</v>
      </c>
      <c r="D139" s="2" t="str">
        <f aca="false">PROPER(TRIM('Raw Data'!G139))</f>
        <v>Pittsburgh</v>
      </c>
      <c r="E139" s="2" t="n">
        <f aca="false">ROUND(VALUE(SUBSTITUTE(TRIM('Raw Data'!M139),"$","")),2)</f>
        <v>1992.36</v>
      </c>
      <c r="F139" s="2" t="n">
        <f aca="false">IF('Raw Data'!O139="",0,'Raw Data'!O139)</f>
        <v>0.3</v>
      </c>
      <c r="G139" s="2" t="n">
        <f aca="false">ROUND('Raw Data'!P139,2)</f>
        <v>-285.56</v>
      </c>
      <c r="H139" s="2" t="str">
        <f aca="false">IF('Raw Data'!S139="","Medium",'Raw Data'!S139)</f>
        <v>High</v>
      </c>
      <c r="I139" s="2" t="str">
        <f aca="false">IF(E139&lt;100,"Small",IF(E139&lt;500,"Medium",IF(E139&lt;1500,"Large","Very Large")))</f>
        <v>Very Large</v>
      </c>
    </row>
    <row r="140" customFormat="false" ht="15" hidden="false" customHeight="false" outlineLevel="0" collapsed="false">
      <c r="A140" s="2" t="str">
        <f aca="false">'Raw Data'!A140</f>
        <v>ORD-4820</v>
      </c>
      <c r="B140" s="3" t="n">
        <f aca="false">IFERROR(DATEVALUE('Raw Data'!B140),"Check Format")</f>
        <v>45747</v>
      </c>
      <c r="C140" s="2" t="str">
        <f aca="false">IF('Raw Data'!E140="",IFERROR(INDEX('Raw Data'!$E$2:$E$501,MATCH('Raw Data'!D140,'Raw Data'!$D$2:$D$501,0)),"Unknown Customer"),'Raw Data'!E140)</f>
        <v>Holly Valentine</v>
      </c>
      <c r="D140" s="2" t="str">
        <f aca="false">PROPER(TRIM('Raw Data'!G140))</f>
        <v>Duluth</v>
      </c>
      <c r="E140" s="2" t="n">
        <f aca="false">ROUND(VALUE(SUBSTITUTE(TRIM('Raw Data'!M140),"$","")),2)</f>
        <v>980.48</v>
      </c>
      <c r="F140" s="2" t="n">
        <f aca="false">IF('Raw Data'!O140="",0,'Raw Data'!O140)</f>
        <v>0</v>
      </c>
      <c r="G140" s="2" t="n">
        <f aca="false">ROUND('Raw Data'!P140,2)</f>
        <v>285.59</v>
      </c>
      <c r="H140" s="2" t="str">
        <f aca="false">IF('Raw Data'!S140="","Medium",'Raw Data'!S140)</f>
        <v>Low</v>
      </c>
      <c r="I140" s="2" t="str">
        <f aca="false">IF(E140&lt;100,"Small",IF(E140&lt;500,"Medium",IF(E140&lt;1500,"Large","Very Large")))</f>
        <v>Large</v>
      </c>
    </row>
    <row r="141" customFormat="false" ht="15" hidden="false" customHeight="false" outlineLevel="0" collapsed="false">
      <c r="A141" s="2" t="str">
        <f aca="false">'Raw Data'!A141</f>
        <v>ORD-15558</v>
      </c>
      <c r="B141" s="3" t="n">
        <f aca="false">IFERROR(DATEVALUE('Raw Data'!B141),"Check Format")</f>
        <v>46191</v>
      </c>
      <c r="C141" s="2" t="str">
        <f aca="false">IF('Raw Data'!E141="",IFERROR(INDEX('Raw Data'!$E$2:$E$501,MATCH('Raw Data'!D141,'Raw Data'!$D$2:$D$501,0)),"Unknown Customer"),'Raw Data'!E141)</f>
        <v>Michael Smith</v>
      </c>
      <c r="D141" s="2" t="str">
        <f aca="false">PROPER(TRIM('Raw Data'!G141))</f>
        <v>Duluth</v>
      </c>
      <c r="E141" s="2" t="n">
        <f aca="false">ROUND(VALUE(SUBSTITUTE(TRIM('Raw Data'!M141),"$","")),2)</f>
        <v>191.76</v>
      </c>
      <c r="F141" s="2" t="n">
        <f aca="false">IF('Raw Data'!O141="",0,'Raw Data'!O141)</f>
        <v>0.15</v>
      </c>
      <c r="G141" s="2" t="n">
        <f aca="false">ROUND('Raw Data'!P141,2)</f>
        <v>6.28</v>
      </c>
      <c r="H141" s="2" t="str">
        <f aca="false">IF('Raw Data'!S141="","Medium",'Raw Data'!S141)</f>
        <v>High</v>
      </c>
      <c r="I141" s="2" t="str">
        <f aca="false">IF(E141&lt;100,"Small",IF(E141&lt;500,"Medium",IF(E141&lt;1500,"Large","Very Large")))</f>
        <v>Medium</v>
      </c>
    </row>
    <row r="142" customFormat="false" ht="15" hidden="false" customHeight="false" outlineLevel="0" collapsed="false">
      <c r="A142" s="2" t="str">
        <f aca="false">'Raw Data'!A142</f>
        <v>ORD-10413</v>
      </c>
      <c r="B142" s="2" t="str">
        <f aca="false">IFERROR(DATEVALUE('Raw Data'!B142),"Check Format")</f>
        <v>Check Format</v>
      </c>
      <c r="C142" s="2" t="str">
        <f aca="false">IF('Raw Data'!E142="",IFERROR(INDEX('Raw Data'!$E$2:$E$501,MATCH('Raw Data'!D142,'Raw Data'!$D$2:$D$501,0)),"Unknown Customer"),'Raw Data'!E142)</f>
        <v>Katherine Welch</v>
      </c>
      <c r="D142" s="2" t="str">
        <f aca="false">PROPER(TRIM('Raw Data'!G142))</f>
        <v>San Antonio</v>
      </c>
      <c r="E142" s="2" t="n">
        <f aca="false">ROUND(VALUE(SUBSTITUTE(TRIM('Raw Data'!M142),"$","")),2)</f>
        <v>2706.55</v>
      </c>
      <c r="F142" s="2" t="n">
        <f aca="false">IF('Raw Data'!O142="",0,'Raw Data'!O142)</f>
        <v>0.15</v>
      </c>
      <c r="G142" s="2" t="n">
        <f aca="false">ROUND('Raw Data'!P142,2)</f>
        <v>204.58</v>
      </c>
      <c r="H142" s="2" t="str">
        <f aca="false">IF('Raw Data'!S142="","Medium",'Raw Data'!S142)</f>
        <v>Critical</v>
      </c>
      <c r="I142" s="2" t="str">
        <f aca="false">IF(E142&lt;100,"Small",IF(E142&lt;500,"Medium",IF(E142&lt;1500,"Large","Very Large")))</f>
        <v>Very Large</v>
      </c>
    </row>
    <row r="143" customFormat="false" ht="15" hidden="false" customHeight="false" outlineLevel="0" collapsed="false">
      <c r="A143" s="2" t="str">
        <f aca="false">'Raw Data'!A143</f>
        <v>ORD-12296</v>
      </c>
      <c r="B143" s="3" t="n">
        <f aca="false">IFERROR(DATEVALUE('Raw Data'!B143),"Check Format")</f>
        <v>45546</v>
      </c>
      <c r="C143" s="2" t="str">
        <f aca="false">IF('Raw Data'!E143="",IFERROR(INDEX('Raw Data'!$E$2:$E$501,MATCH('Raw Data'!D143,'Raw Data'!$D$2:$D$501,0)),"Unknown Customer"),'Raw Data'!E143)</f>
        <v>Michael Roberts</v>
      </c>
      <c r="D143" s="2" t="str">
        <f aca="false">PROPER(TRIM('Raw Data'!G143))</f>
        <v/>
      </c>
      <c r="E143" s="2" t="n">
        <f aca="false">ROUND(VALUE(SUBSTITUTE(TRIM('Raw Data'!M143),"$","")),2)</f>
        <v>1733.16</v>
      </c>
      <c r="F143" s="2" t="n">
        <f aca="false">IF('Raw Data'!O143="",0,'Raw Data'!O143)</f>
        <v>0</v>
      </c>
      <c r="G143" s="2" t="n">
        <f aca="false">ROUND('Raw Data'!P143,2)</f>
        <v>634.82</v>
      </c>
      <c r="H143" s="2" t="str">
        <f aca="false">IF('Raw Data'!S143="","Medium",'Raw Data'!S143)</f>
        <v>Medium</v>
      </c>
      <c r="I143" s="2" t="str">
        <f aca="false">IF(E143&lt;100,"Small",IF(E143&lt;500,"Medium",IF(E143&lt;1500,"Large","Very Large")))</f>
        <v>Very Large</v>
      </c>
    </row>
    <row r="144" customFormat="false" ht="15" hidden="false" customHeight="false" outlineLevel="0" collapsed="false">
      <c r="A144" s="2" t="str">
        <f aca="false">'Raw Data'!A144</f>
        <v>ORD-11970</v>
      </c>
      <c r="B144" s="3" t="n">
        <f aca="false">IFERROR(DATEVALUE('Raw Data'!B144),"Check Format")</f>
        <v>45351</v>
      </c>
      <c r="C144" s="2" t="str">
        <f aca="false">IF('Raw Data'!E144="",IFERROR(INDEX('Raw Data'!$E$2:$E$501,MATCH('Raw Data'!D144,'Raw Data'!$D$2:$D$501,0)),"Unknown Customer"),'Raw Data'!E144)</f>
        <v>James Jefferson</v>
      </c>
      <c r="D144" s="2" t="str">
        <f aca="false">PROPER(TRIM('Raw Data'!G144))</f>
        <v>Pittsburgh</v>
      </c>
      <c r="E144" s="2" t="n">
        <f aca="false">ROUND(VALUE(SUBSTITUTE(TRIM('Raw Data'!M144),"$","")),2)</f>
        <v>285.06</v>
      </c>
      <c r="F144" s="2" t="n">
        <f aca="false">IF('Raw Data'!O144="",0,'Raw Data'!O144)</f>
        <v>0.1</v>
      </c>
      <c r="G144" s="2" t="n">
        <f aca="false">ROUND('Raw Data'!P144,2)</f>
        <v>90.79</v>
      </c>
      <c r="H144" s="2" t="str">
        <f aca="false">IF('Raw Data'!S144="","Medium",'Raw Data'!S144)</f>
        <v>Low</v>
      </c>
      <c r="I144" s="2" t="str">
        <f aca="false">IF(E144&lt;100,"Small",IF(E144&lt;500,"Medium",IF(E144&lt;1500,"Large","Very Large")))</f>
        <v>Medium</v>
      </c>
    </row>
    <row r="145" customFormat="false" ht="15" hidden="false" customHeight="false" outlineLevel="0" collapsed="false">
      <c r="A145" s="2" t="str">
        <f aca="false">'Raw Data'!A145</f>
        <v>ORD-4406</v>
      </c>
      <c r="B145" s="2" t="str">
        <f aca="false">IFERROR(DATEVALUE('Raw Data'!B145),"Check Format")</f>
        <v>Check Format</v>
      </c>
      <c r="C145" s="2" t="str">
        <f aca="false">IF('Raw Data'!E145="",IFERROR(INDEX('Raw Data'!$E$2:$E$501,MATCH('Raw Data'!D145,'Raw Data'!$D$2:$D$501,0)),"Unknown Customer"),'Raw Data'!E145)</f>
        <v>Nathan Malone</v>
      </c>
      <c r="D145" s="2" t="str">
        <f aca="false">PROPER(TRIM('Raw Data'!G145))</f>
        <v/>
      </c>
      <c r="E145" s="2" t="n">
        <f aca="false">ROUND(VALUE(SUBSTITUTE(TRIM('Raw Data'!M145),"$","")),2)</f>
        <v>294.5</v>
      </c>
      <c r="F145" s="2" t="n">
        <f aca="false">IF('Raw Data'!O145="",0,'Raw Data'!O145)</f>
        <v>0.15</v>
      </c>
      <c r="G145" s="2" t="n">
        <f aca="false">ROUND('Raw Data'!P145,2)</f>
        <v>9.84</v>
      </c>
      <c r="H145" s="2" t="str">
        <f aca="false">IF('Raw Data'!S145="","Medium",'Raw Data'!S145)</f>
        <v>Low</v>
      </c>
      <c r="I145" s="2" t="str">
        <f aca="false">IF(E145&lt;100,"Small",IF(E145&lt;500,"Medium",IF(E145&lt;1500,"Large","Very Large")))</f>
        <v>Medium</v>
      </c>
    </row>
    <row r="146" customFormat="false" ht="15" hidden="false" customHeight="false" outlineLevel="0" collapsed="false">
      <c r="A146" s="2" t="str">
        <f aca="false">'Raw Data'!A146</f>
        <v>ORD-8985</v>
      </c>
      <c r="B146" s="3" t="n">
        <f aca="false">IFERROR(DATEVALUE('Raw Data'!B146),"Check Format")</f>
        <v>45179</v>
      </c>
      <c r="C146" s="2" t="str">
        <f aca="false">IF('Raw Data'!E146="",IFERROR(INDEX('Raw Data'!$E$2:$E$501,MATCH('Raw Data'!D146,'Raw Data'!$D$2:$D$501,0)),"Unknown Customer"),'Raw Data'!E146)</f>
        <v>Erin Edwards</v>
      </c>
      <c r="D146" s="2" t="str">
        <f aca="false">PROPER(TRIM('Raw Data'!G146))</f>
        <v>Montgomery</v>
      </c>
      <c r="E146" s="2" t="n">
        <f aca="false">ROUND(VALUE(SUBSTITUTE(TRIM('Raw Data'!M146),"$","")),2)</f>
        <v>236.4</v>
      </c>
      <c r="F146" s="2" t="n">
        <f aca="false">IF('Raw Data'!O146="",0,'Raw Data'!O146)</f>
        <v>0.5</v>
      </c>
      <c r="G146" s="2" t="n">
        <f aca="false">ROUND('Raw Data'!P146,2)</f>
        <v>-40.14</v>
      </c>
      <c r="H146" s="2" t="str">
        <f aca="false">IF('Raw Data'!S146="","Medium",'Raw Data'!S146)</f>
        <v>Critical</v>
      </c>
      <c r="I146" s="2" t="str">
        <f aca="false">IF(E146&lt;100,"Small",IF(E146&lt;500,"Medium",IF(E146&lt;1500,"Large","Very Large")))</f>
        <v>Medium</v>
      </c>
    </row>
    <row r="147" customFormat="false" ht="15" hidden="false" customHeight="false" outlineLevel="0" collapsed="false">
      <c r="A147" s="2" t="str">
        <f aca="false">'Raw Data'!A147</f>
        <v>ORD-6119</v>
      </c>
      <c r="B147" s="3" t="n">
        <f aca="false">IFERROR(DATEVALUE('Raw Data'!B147),"Check Format")</f>
        <v>45527</v>
      </c>
      <c r="C147" s="2" t="str">
        <f aca="false">IF('Raw Data'!E147="",IFERROR(INDEX('Raw Data'!$E$2:$E$501,MATCH('Raw Data'!D147,'Raw Data'!$D$2:$D$501,0)),"Unknown Customer"),'Raw Data'!E147)</f>
        <v>Gary Wells</v>
      </c>
      <c r="D147" s="2" t="str">
        <f aca="false">PROPER(TRIM('Raw Data'!G147))</f>
        <v>Newark</v>
      </c>
      <c r="E147" s="2" t="n">
        <f aca="false">ROUND(VALUE(SUBSTITUTE(TRIM('Raw Data'!M147),"$","")),2)</f>
        <v>49.6</v>
      </c>
      <c r="F147" s="2" t="n">
        <f aca="false">IF('Raw Data'!O147="",0,'Raw Data'!O147)</f>
        <v>0.2</v>
      </c>
      <c r="G147" s="2" t="n">
        <f aca="false">ROUND('Raw Data'!P147,2)</f>
        <v>2.92</v>
      </c>
      <c r="H147" s="2" t="str">
        <f aca="false">IF('Raw Data'!S147="","Medium",'Raw Data'!S147)</f>
        <v>Critical</v>
      </c>
      <c r="I147" s="2" t="str">
        <f aca="false">IF(E147&lt;100,"Small",IF(E147&lt;500,"Medium",IF(E147&lt;1500,"Large","Very Large")))</f>
        <v>Small</v>
      </c>
    </row>
    <row r="148" customFormat="false" ht="15" hidden="false" customHeight="false" outlineLevel="0" collapsed="false">
      <c r="A148" s="2" t="str">
        <f aca="false">'Raw Data'!A148</f>
        <v>ORD-8334</v>
      </c>
      <c r="B148" s="2" t="str">
        <f aca="false">IFERROR(DATEVALUE('Raw Data'!B148),"Check Format")</f>
        <v>Check Format</v>
      </c>
      <c r="C148" s="2" t="str">
        <f aca="false">IF('Raw Data'!E148="",IFERROR(INDEX('Raw Data'!$E$2:$E$501,MATCH('Raw Data'!D148,'Raw Data'!$D$2:$D$501,0)),"Unknown Customer"),'Raw Data'!E148)</f>
        <v>Denise Mccann</v>
      </c>
      <c r="D148" s="2" t="str">
        <f aca="false">PROPER(TRIM('Raw Data'!G148))</f>
        <v>Charlotte</v>
      </c>
      <c r="E148" s="2" t="n">
        <f aca="false">ROUND(VALUE(SUBSTITUTE(TRIM('Raw Data'!M148),"$","")),2)</f>
        <v>51.15</v>
      </c>
      <c r="F148" s="2" t="n">
        <f aca="false">IF('Raw Data'!O148="",0,'Raw Data'!O148)</f>
        <v>0</v>
      </c>
      <c r="G148" s="2" t="n">
        <f aca="false">ROUND('Raw Data'!P148,2)</f>
        <v>14.93</v>
      </c>
      <c r="H148" s="2" t="str">
        <f aca="false">IF('Raw Data'!S148="","Medium",'Raw Data'!S148)</f>
        <v>Medium</v>
      </c>
      <c r="I148" s="2" t="str">
        <f aca="false">IF(E148&lt;100,"Small",IF(E148&lt;500,"Medium",IF(E148&lt;1500,"Large","Very Large")))</f>
        <v>Small</v>
      </c>
    </row>
    <row r="149" customFormat="false" ht="15" hidden="false" customHeight="false" outlineLevel="0" collapsed="false">
      <c r="A149" s="2" t="str">
        <f aca="false">'Raw Data'!A149</f>
        <v>ORD-5592</v>
      </c>
      <c r="B149" s="2" t="str">
        <f aca="false">IFERROR(DATEVALUE('Raw Data'!B149),"Check Format")</f>
        <v>Check Format</v>
      </c>
      <c r="C149" s="2" t="str">
        <f aca="false">IF('Raw Data'!E149="",IFERROR(INDEX('Raw Data'!$E$2:$E$501,MATCH('Raw Data'!D149,'Raw Data'!$D$2:$D$501,0)),"Unknown Customer"),'Raw Data'!E149)</f>
        <v>David Reynolds</v>
      </c>
      <c r="D149" s="2" t="str">
        <f aca="false">PROPER(TRIM('Raw Data'!G149))</f>
        <v>Kansas City</v>
      </c>
      <c r="E149" s="2" t="n">
        <f aca="false">ROUND(VALUE(SUBSTITUTE(TRIM('Raw Data'!M149),"$","")),2)</f>
        <v>2113.86</v>
      </c>
      <c r="F149" s="2" t="n">
        <f aca="false">IF('Raw Data'!O149="",0,'Raw Data'!O149)</f>
        <v>0</v>
      </c>
      <c r="G149" s="2" t="n">
        <f aca="false">ROUND('Raw Data'!P149,2)</f>
        <v>406.11</v>
      </c>
      <c r="H149" s="2" t="str">
        <f aca="false">IF('Raw Data'!S149="","Medium",'Raw Data'!S149)</f>
        <v>Medium</v>
      </c>
      <c r="I149" s="2" t="str">
        <f aca="false">IF(E149&lt;100,"Small",IF(E149&lt;500,"Medium",IF(E149&lt;1500,"Large","Very Large")))</f>
        <v>Very Large</v>
      </c>
    </row>
    <row r="150" customFormat="false" ht="15" hidden="false" customHeight="false" outlineLevel="0" collapsed="false">
      <c r="A150" s="2" t="str">
        <f aca="false">'Raw Data'!A150</f>
        <v>ORD-9466</v>
      </c>
      <c r="B150" s="2" t="str">
        <f aca="false">IFERROR(DATEVALUE('Raw Data'!B150),"Check Format")</f>
        <v>Check Format</v>
      </c>
      <c r="C150" s="2" t="str">
        <f aca="false">IF('Raw Data'!E150="",IFERROR(INDEX('Raw Data'!$E$2:$E$501,MATCH('Raw Data'!D150,'Raw Data'!$D$2:$D$501,0)),"Unknown Customer"),'Raw Data'!E150)</f>
        <v>Emma Butler</v>
      </c>
      <c r="D150" s="2" t="str">
        <f aca="false">PROPER(TRIM('Raw Data'!G150))</f>
        <v>Columbus</v>
      </c>
      <c r="E150" s="2" t="n">
        <f aca="false">ROUND(VALUE(SUBSTITUTE(TRIM('Raw Data'!M150),"$","")),2)</f>
        <v>140.5</v>
      </c>
      <c r="F150" s="2" t="n">
        <f aca="false">IF('Raw Data'!O150="",0,'Raw Data'!O150)</f>
        <v>0</v>
      </c>
      <c r="G150" s="2" t="n">
        <f aca="false">ROUND('Raw Data'!P150,2)</f>
        <v>53.97</v>
      </c>
      <c r="H150" s="2" t="str">
        <f aca="false">IF('Raw Data'!S150="","Medium",'Raw Data'!S150)</f>
        <v>Critical</v>
      </c>
      <c r="I150" s="2" t="str">
        <f aca="false">IF(E150&lt;100,"Small",IF(E150&lt;500,"Medium",IF(E150&lt;1500,"Large","Very Large")))</f>
        <v>Medium</v>
      </c>
    </row>
    <row r="151" customFormat="false" ht="15" hidden="false" customHeight="false" outlineLevel="0" collapsed="false">
      <c r="A151" s="2" t="str">
        <f aca="false">'Raw Data'!A151</f>
        <v>ORD-8282</v>
      </c>
      <c r="B151" s="2" t="str">
        <f aca="false">IFERROR(DATEVALUE('Raw Data'!B151),"Check Format")</f>
        <v>Check Format</v>
      </c>
      <c r="C151" s="2" t="str">
        <f aca="false">IF('Raw Data'!E151="",IFERROR(INDEX('Raw Data'!$E$2:$E$501,MATCH('Raw Data'!D151,'Raw Data'!$D$2:$D$501,0)),"Unknown Customer"),'Raw Data'!E151)</f>
        <v>Devon Flores</v>
      </c>
      <c r="D151" s="2" t="str">
        <f aca="false">PROPER(TRIM('Raw Data'!G151))</f>
        <v>Tampa</v>
      </c>
      <c r="E151" s="2" t="n">
        <f aca="false">ROUND(VALUE(SUBSTITUTE(TRIM('Raw Data'!M151),"$","")),2)</f>
        <v>221.83</v>
      </c>
      <c r="F151" s="2" t="n">
        <f aca="false">IF('Raw Data'!O151="",0,'Raw Data'!O151)</f>
        <v>0.5</v>
      </c>
      <c r="G151" s="2" t="n">
        <f aca="false">ROUND('Raw Data'!P151,2)</f>
        <v>-63.22</v>
      </c>
      <c r="H151" s="2" t="str">
        <f aca="false">IF('Raw Data'!S151="","Medium",'Raw Data'!S151)</f>
        <v>Medium</v>
      </c>
      <c r="I151" s="2" t="str">
        <f aca="false">IF(E151&lt;100,"Small",IF(E151&lt;500,"Medium",IF(E151&lt;1500,"Large","Very Large")))</f>
        <v>Medium</v>
      </c>
    </row>
    <row r="152" customFormat="false" ht="15" hidden="false" customHeight="false" outlineLevel="0" collapsed="false">
      <c r="A152" s="2" t="str">
        <f aca="false">'Raw Data'!A152</f>
        <v>ORD-6528</v>
      </c>
      <c r="B152" s="3" t="n">
        <f aca="false">IFERROR(DATEVALUE('Raw Data'!B152),"Check Format")</f>
        <v>46198</v>
      </c>
      <c r="C152" s="2" t="str">
        <f aca="false">IF('Raw Data'!E152="",IFERROR(INDEX('Raw Data'!$E$2:$E$501,MATCH('Raw Data'!D152,'Raw Data'!$D$2:$D$501,0)),"Unknown Customer"),'Raw Data'!E152)</f>
        <v>Angela Vaughn</v>
      </c>
      <c r="D152" s="2" t="str">
        <f aca="false">PROPER(TRIM('Raw Data'!G152))</f>
        <v>Eugene</v>
      </c>
      <c r="E152" s="2" t="n">
        <f aca="false">ROUND(VALUE(SUBSTITUTE(TRIM('Raw Data'!M152),"$","")),2)</f>
        <v>37.72</v>
      </c>
      <c r="F152" s="2" t="n">
        <f aca="false">IF('Raw Data'!O152="",0,'Raw Data'!O152)</f>
        <v>0</v>
      </c>
      <c r="G152" s="2" t="n">
        <f aca="false">ROUND('Raw Data'!P152,2)</f>
        <v>12.94</v>
      </c>
      <c r="H152" s="2" t="str">
        <f aca="false">IF('Raw Data'!S152="","Medium",'Raw Data'!S152)</f>
        <v>Medium</v>
      </c>
      <c r="I152" s="2" t="str">
        <f aca="false">IF(E152&lt;100,"Small",IF(E152&lt;500,"Medium",IF(E152&lt;1500,"Large","Very Large")))</f>
        <v>Small</v>
      </c>
    </row>
    <row r="153" customFormat="false" ht="15" hidden="false" customHeight="false" outlineLevel="0" collapsed="false">
      <c r="A153" s="2" t="str">
        <f aca="false">'Raw Data'!A153</f>
        <v>ORD-7014</v>
      </c>
      <c r="B153" s="3" t="n">
        <f aca="false">IFERROR(DATEVALUE('Raw Data'!B153),"Check Format")</f>
        <v>45988</v>
      </c>
      <c r="C153" s="2" t="str">
        <f aca="false">IF('Raw Data'!E153="",IFERROR(INDEX('Raw Data'!$E$2:$E$501,MATCH('Raw Data'!D153,'Raw Data'!$D$2:$D$501,0)),"Unknown Customer"),'Raw Data'!E153)</f>
        <v>Charles Turner</v>
      </c>
      <c r="D153" s="2" t="str">
        <f aca="false">PROPER(TRIM('Raw Data'!G153))</f>
        <v>Montgomery</v>
      </c>
      <c r="E153" s="2" t="n">
        <f aca="false">ROUND(VALUE(SUBSTITUTE(TRIM('Raw Data'!M153),"$","")),2)</f>
        <v>240.81</v>
      </c>
      <c r="F153" s="2" t="n">
        <f aca="false">IF('Raw Data'!O153="",0,'Raw Data'!O153)</f>
        <v>0.3</v>
      </c>
      <c r="G153" s="2" t="n">
        <f aca="false">ROUND('Raw Data'!P153,2)</f>
        <v>-23.46</v>
      </c>
      <c r="H153" s="2" t="str">
        <f aca="false">IF('Raw Data'!S153="","Medium",'Raw Data'!S153)</f>
        <v>Medium</v>
      </c>
      <c r="I153" s="2" t="str">
        <f aca="false">IF(E153&lt;100,"Small",IF(E153&lt;500,"Medium",IF(E153&lt;1500,"Large","Very Large")))</f>
        <v>Medium</v>
      </c>
    </row>
    <row r="154" customFormat="false" ht="15" hidden="false" customHeight="false" outlineLevel="0" collapsed="false">
      <c r="A154" s="2" t="str">
        <f aca="false">'Raw Data'!A154</f>
        <v>ORD-6587</v>
      </c>
      <c r="B154" s="2" t="str">
        <f aca="false">IFERROR(DATEVALUE('Raw Data'!B154),"Check Format")</f>
        <v>Check Format</v>
      </c>
      <c r="C154" s="2" t="str">
        <f aca="false">IF('Raw Data'!E154="",IFERROR(INDEX('Raw Data'!$E$2:$E$501,MATCH('Raw Data'!D154,'Raw Data'!$D$2:$D$501,0)),"Unknown Customer"),'Raw Data'!E154)</f>
        <v>Craig Morrison</v>
      </c>
      <c r="D154" s="2" t="str">
        <f aca="false">PROPER(TRIM('Raw Data'!G154))</f>
        <v>Cleveland</v>
      </c>
      <c r="E154" s="2" t="n">
        <f aca="false">ROUND(VALUE(SUBSTITUTE(TRIM('Raw Data'!M154),"$","")),2)</f>
        <v>404.32</v>
      </c>
      <c r="F154" s="2" t="n">
        <f aca="false">IF('Raw Data'!O154="",0,'Raw Data'!O154)</f>
        <v>0</v>
      </c>
      <c r="G154" s="2" t="n">
        <f aca="false">ROUND('Raw Data'!P154,2)</f>
        <v>155.33</v>
      </c>
      <c r="H154" s="2" t="str">
        <f aca="false">IF('Raw Data'!S154="","Medium",'Raw Data'!S154)</f>
        <v>Critical</v>
      </c>
      <c r="I154" s="2" t="str">
        <f aca="false">IF(E154&lt;100,"Small",IF(E154&lt;500,"Medium",IF(E154&lt;1500,"Large","Very Large")))</f>
        <v>Medium</v>
      </c>
    </row>
    <row r="155" customFormat="false" ht="15" hidden="false" customHeight="false" outlineLevel="0" collapsed="false">
      <c r="A155" s="2" t="str">
        <f aca="false">'Raw Data'!A155</f>
        <v>ORD-10313</v>
      </c>
      <c r="B155" s="2" t="str">
        <f aca="false">IFERROR(DATEVALUE('Raw Data'!B155),"Check Format")</f>
        <v>Check Format</v>
      </c>
      <c r="C155" s="2" t="str">
        <f aca="false">IF('Raw Data'!E155="",IFERROR(INDEX('Raw Data'!$E$2:$E$501,MATCH('Raw Data'!D155,'Raw Data'!$D$2:$D$501,0)),"Unknown Customer"),'Raw Data'!E155)</f>
        <v>Sarah Booth</v>
      </c>
      <c r="D155" s="2" t="str">
        <f aca="false">PROPER(TRIM('Raw Data'!G155))</f>
        <v>New York City</v>
      </c>
      <c r="E155" s="2" t="n">
        <f aca="false">ROUND(VALUE(SUBSTITUTE(TRIM('Raw Data'!M155),"$","")),2)</f>
        <v>276.36</v>
      </c>
      <c r="F155" s="2" t="n">
        <f aca="false">IF('Raw Data'!O155="",0,'Raw Data'!O155)</f>
        <v>0.4</v>
      </c>
      <c r="G155" s="2" t="n">
        <f aca="false">ROUND('Raw Data'!P155,2)</f>
        <v>-53.38</v>
      </c>
      <c r="H155" s="2" t="str">
        <f aca="false">IF('Raw Data'!S155="","Medium",'Raw Data'!S155)</f>
        <v>Low</v>
      </c>
      <c r="I155" s="2" t="str">
        <f aca="false">IF(E155&lt;100,"Small",IF(E155&lt;500,"Medium",IF(E155&lt;1500,"Large","Very Large")))</f>
        <v>Medium</v>
      </c>
    </row>
    <row r="156" customFormat="false" ht="15" hidden="false" customHeight="false" outlineLevel="0" collapsed="false">
      <c r="A156" s="2" t="str">
        <f aca="false">'Raw Data'!A156</f>
        <v>ORD-15036</v>
      </c>
      <c r="B156" s="2" t="str">
        <f aca="false">IFERROR(DATEVALUE('Raw Data'!B156),"Check Format")</f>
        <v>Check Format</v>
      </c>
      <c r="C156" s="2" t="str">
        <f aca="false">IF('Raw Data'!E156="",IFERROR(INDEX('Raw Data'!$E$2:$E$501,MATCH('Raw Data'!D156,'Raw Data'!$D$2:$D$501,0)),"Unknown Customer"),'Raw Data'!E156)</f>
        <v>Jason Powell</v>
      </c>
      <c r="D156" s="2" t="str">
        <f aca="false">PROPER(TRIM('Raw Data'!G156))</f>
        <v>Atlanta</v>
      </c>
      <c r="E156" s="2" t="n">
        <f aca="false">ROUND(VALUE(SUBSTITUTE(TRIM('Raw Data'!M156),"$","")),2)</f>
        <v>5381.76</v>
      </c>
      <c r="F156" s="2" t="n">
        <f aca="false">IF('Raw Data'!O156="",0,'Raw Data'!O156)</f>
        <v>0.2</v>
      </c>
      <c r="G156" s="2" t="n">
        <f aca="false">ROUND('Raw Data'!P156,2)</f>
        <v>-5.77</v>
      </c>
      <c r="H156" s="2" t="str">
        <f aca="false">IF('Raw Data'!S156="","Medium",'Raw Data'!S156)</f>
        <v>Medium</v>
      </c>
      <c r="I156" s="2" t="str">
        <f aca="false">IF(E156&lt;100,"Small",IF(E156&lt;500,"Medium",IF(E156&lt;1500,"Large","Very Large")))</f>
        <v>Very Large</v>
      </c>
    </row>
    <row r="157" customFormat="false" ht="15" hidden="false" customHeight="false" outlineLevel="0" collapsed="false">
      <c r="A157" s="2" t="str">
        <f aca="false">'Raw Data'!A157</f>
        <v>ORD-17816</v>
      </c>
      <c r="B157" s="2" t="str">
        <f aca="false">IFERROR(DATEVALUE('Raw Data'!B157),"Check Format")</f>
        <v>Check Format</v>
      </c>
      <c r="C157" s="2" t="str">
        <f aca="false">IF('Raw Data'!E157="",IFERROR(INDEX('Raw Data'!$E$2:$E$501,MATCH('Raw Data'!D157,'Raw Data'!$D$2:$D$501,0)),"Unknown Customer"),'Raw Data'!E157)</f>
        <v>Dr. William Warren</v>
      </c>
      <c r="D157" s="2" t="str">
        <f aca="false">PROPER(TRIM('Raw Data'!G157))</f>
        <v>Boulder</v>
      </c>
      <c r="E157" s="2" t="n">
        <f aca="false">ROUND(VALUE(SUBSTITUTE(TRIM('Raw Data'!M157),"$","")),2)</f>
        <v>3679.65</v>
      </c>
      <c r="F157" s="2" t="n">
        <f aca="false">IF('Raw Data'!O157="",0,'Raw Data'!O157)</f>
        <v>0.4</v>
      </c>
      <c r="G157" s="2" t="n">
        <f aca="false">ROUND('Raw Data'!P157,2)</f>
        <v>-680.4</v>
      </c>
      <c r="H157" s="2" t="str">
        <f aca="false">IF('Raw Data'!S157="","Medium",'Raw Data'!S157)</f>
        <v>Medium</v>
      </c>
      <c r="I157" s="2" t="str">
        <f aca="false">IF(E157&lt;100,"Small",IF(E157&lt;500,"Medium",IF(E157&lt;1500,"Large","Very Large")))</f>
        <v>Very Large</v>
      </c>
    </row>
    <row r="158" customFormat="false" ht="15" hidden="false" customHeight="false" outlineLevel="0" collapsed="false">
      <c r="A158" s="2" t="str">
        <f aca="false">'Raw Data'!A158</f>
        <v>ORD-9127</v>
      </c>
      <c r="B158" s="3" t="n">
        <f aca="false">IFERROR(DATEVALUE('Raw Data'!B158),"Check Format")</f>
        <v>45446</v>
      </c>
      <c r="C158" s="2" t="str">
        <f aca="false">IF('Raw Data'!E158="",IFERROR(INDEX('Raw Data'!$E$2:$E$501,MATCH('Raw Data'!D158,'Raw Data'!$D$2:$D$501,0)),"Unknown Customer"),'Raw Data'!E158)</f>
        <v>Connor West</v>
      </c>
      <c r="D158" s="2" t="str">
        <f aca="false">PROPER(TRIM('Raw Data'!G158))</f>
        <v>Raleigh</v>
      </c>
      <c r="E158" s="2" t="n">
        <f aca="false">ROUND(VALUE(SUBSTITUTE(TRIM('Raw Data'!M158),"$","")),2)</f>
        <v>3813.1</v>
      </c>
      <c r="F158" s="2" t="n">
        <f aca="false">IF('Raw Data'!O158="",0,'Raw Data'!O158)</f>
        <v>0</v>
      </c>
      <c r="G158" s="2" t="n">
        <f aca="false">ROUND('Raw Data'!P158,2)</f>
        <v>0</v>
      </c>
      <c r="H158" s="2" t="str">
        <f aca="false">IF('Raw Data'!S158="","Medium",'Raw Data'!S158)</f>
        <v>Medium</v>
      </c>
      <c r="I158" s="2" t="str">
        <f aca="false">IF(E158&lt;100,"Small",IF(E158&lt;500,"Medium",IF(E158&lt;1500,"Large","Very Large")))</f>
        <v>Very Large</v>
      </c>
    </row>
    <row r="159" customFormat="false" ht="15" hidden="false" customHeight="false" outlineLevel="0" collapsed="false">
      <c r="A159" s="2" t="str">
        <f aca="false">'Raw Data'!A159</f>
        <v>ORD-14230</v>
      </c>
      <c r="B159" s="2" t="str">
        <f aca="false">IFERROR(DATEVALUE('Raw Data'!B159),"Check Format")</f>
        <v>Check Format</v>
      </c>
      <c r="C159" s="2" t="str">
        <f aca="false">IF('Raw Data'!E159="",IFERROR(INDEX('Raw Data'!$E$2:$E$501,MATCH('Raw Data'!D159,'Raw Data'!$D$2:$D$501,0)),"Unknown Customer"),'Raw Data'!E159)</f>
        <v>Cynthia Morris</v>
      </c>
      <c r="D159" s="2" t="str">
        <f aca="false">PROPER(TRIM('Raw Data'!G159))</f>
        <v>Miami</v>
      </c>
      <c r="E159" s="2" t="n">
        <f aca="false">ROUND(VALUE(SUBSTITUTE(TRIM('Raw Data'!M159),"$","")),2)</f>
        <v>297.64</v>
      </c>
      <c r="F159" s="2" t="n">
        <f aca="false">IF('Raw Data'!O159="",0,'Raw Data'!O159)</f>
        <v>0</v>
      </c>
      <c r="G159" s="2" t="n">
        <f aca="false">ROUND('Raw Data'!P159,2)</f>
        <v>98.08</v>
      </c>
      <c r="H159" s="2" t="str">
        <f aca="false">IF('Raw Data'!S159="","Medium",'Raw Data'!S159)</f>
        <v>Medium</v>
      </c>
      <c r="I159" s="2" t="str">
        <f aca="false">IF(E159&lt;100,"Small",IF(E159&lt;500,"Medium",IF(E159&lt;1500,"Large","Very Large")))</f>
        <v>Medium</v>
      </c>
    </row>
    <row r="160" customFormat="false" ht="15" hidden="false" customHeight="false" outlineLevel="0" collapsed="false">
      <c r="A160" s="2" t="str">
        <f aca="false">'Raw Data'!A160</f>
        <v>ORD-10339</v>
      </c>
      <c r="B160" s="2" t="str">
        <f aca="false">IFERROR(DATEVALUE('Raw Data'!B160),"Check Format")</f>
        <v>Check Format</v>
      </c>
      <c r="C160" s="2" t="str">
        <f aca="false">IF('Raw Data'!E160="",IFERROR(INDEX('Raw Data'!$E$2:$E$501,MATCH('Raw Data'!D160,'Raw Data'!$D$2:$D$501,0)),"Unknown Customer"),'Raw Data'!E160)</f>
        <v>Matthew Mcmillan</v>
      </c>
      <c r="D160" s="2" t="str">
        <f aca="false">PROPER(TRIM('Raw Data'!G160))</f>
        <v>Austin</v>
      </c>
      <c r="E160" s="2" t="n">
        <f aca="false">ROUND(VALUE(SUBSTITUTE(TRIM('Raw Data'!M160),"$","")),2)</f>
        <v>54.06</v>
      </c>
      <c r="F160" s="2" t="n">
        <f aca="false">IF('Raw Data'!O160="",0,'Raw Data'!O160)</f>
        <v>0.5</v>
      </c>
      <c r="G160" s="2" t="n">
        <f aca="false">ROUND('Raw Data'!P160,2)</f>
        <v>-17.15</v>
      </c>
      <c r="H160" s="2" t="str">
        <f aca="false">IF('Raw Data'!S160="","Medium",'Raw Data'!S160)</f>
        <v>Critical</v>
      </c>
      <c r="I160" s="2" t="str">
        <f aca="false">IF(E160&lt;100,"Small",IF(E160&lt;500,"Medium",IF(E160&lt;1500,"Large","Very Large")))</f>
        <v>Small</v>
      </c>
    </row>
    <row r="161" customFormat="false" ht="15" hidden="false" customHeight="false" outlineLevel="0" collapsed="false">
      <c r="A161" s="2" t="str">
        <f aca="false">'Raw Data'!A161</f>
        <v>ORD-12151</v>
      </c>
      <c r="B161" s="2" t="str">
        <f aca="false">IFERROR(DATEVALUE('Raw Data'!B161),"Check Format")</f>
        <v>Check Format</v>
      </c>
      <c r="C161" s="2" t="str">
        <f aca="false">IF('Raw Data'!E161="",IFERROR(INDEX('Raw Data'!$E$2:$E$501,MATCH('Raw Data'!D161,'Raw Data'!$D$2:$D$501,0)),"Unknown Customer"),'Raw Data'!E161)</f>
        <v>Kathy Reid</v>
      </c>
      <c r="D161" s="2" t="str">
        <f aca="false">PROPER(TRIM('Raw Data'!G161))</f>
        <v>Detroit</v>
      </c>
      <c r="E161" s="2" t="n">
        <f aca="false">ROUND(VALUE(SUBSTITUTE(TRIM('Raw Data'!M161),"$","")),2)</f>
        <v>2433.6</v>
      </c>
      <c r="F161" s="2" t="n">
        <f aca="false">IF('Raw Data'!O161="",0,'Raw Data'!O161)</f>
        <v>0.2</v>
      </c>
      <c r="G161" s="2" t="n">
        <f aca="false">ROUND('Raw Data'!P161,2)</f>
        <v>-77.78</v>
      </c>
      <c r="H161" s="2" t="str">
        <f aca="false">IF('Raw Data'!S161="","Medium",'Raw Data'!S161)</f>
        <v>High</v>
      </c>
      <c r="I161" s="2" t="str">
        <f aca="false">IF(E161&lt;100,"Small",IF(E161&lt;500,"Medium",IF(E161&lt;1500,"Large","Very Large")))</f>
        <v>Very Large</v>
      </c>
    </row>
    <row r="162" customFormat="false" ht="15" hidden="false" customHeight="false" outlineLevel="0" collapsed="false">
      <c r="A162" s="2" t="str">
        <f aca="false">'Raw Data'!A162</f>
        <v>ORD-5034</v>
      </c>
      <c r="B162" s="2" t="str">
        <f aca="false">IFERROR(DATEVALUE('Raw Data'!B162),"Check Format")</f>
        <v>Check Format</v>
      </c>
      <c r="C162" s="2" t="str">
        <f aca="false">IF('Raw Data'!E162="",IFERROR(INDEX('Raw Data'!$E$2:$E$501,MATCH('Raw Data'!D162,'Raw Data'!$D$2:$D$501,0)),"Unknown Customer"),'Raw Data'!E162)</f>
        <v>Sherry Woods</v>
      </c>
      <c r="D162" s="2" t="str">
        <f aca="false">PROPER(TRIM('Raw Data'!G162))</f>
        <v>Reno</v>
      </c>
      <c r="E162" s="2" t="n">
        <f aca="false">ROUND(VALUE(SUBSTITUTE(TRIM('Raw Data'!M162),"$","")),2)</f>
        <v>4193.01</v>
      </c>
      <c r="F162" s="2" t="n">
        <f aca="false">IF('Raw Data'!O162="",0,'Raw Data'!O162)</f>
        <v>0.3</v>
      </c>
      <c r="G162" s="2" t="n">
        <f aca="false">ROUND('Raw Data'!P162,2)</f>
        <v>45.44</v>
      </c>
      <c r="H162" s="2" t="str">
        <f aca="false">IF('Raw Data'!S162="","Medium",'Raw Data'!S162)</f>
        <v>Medium</v>
      </c>
      <c r="I162" s="2" t="str">
        <f aca="false">IF(E162&lt;100,"Small",IF(E162&lt;500,"Medium",IF(E162&lt;1500,"Large","Very Large")))</f>
        <v>Very Large</v>
      </c>
    </row>
    <row r="163" customFormat="false" ht="15" hidden="false" customHeight="false" outlineLevel="0" collapsed="false">
      <c r="A163" s="2" t="str">
        <f aca="false">'Raw Data'!A163</f>
        <v>ORD-15835</v>
      </c>
      <c r="B163" s="3" t="n">
        <f aca="false">IFERROR(DATEVALUE('Raw Data'!B163),"Check Format")</f>
        <v>46061</v>
      </c>
      <c r="C163" s="2" t="str">
        <f aca="false">IF('Raw Data'!E163="",IFERROR(INDEX('Raw Data'!$E$2:$E$501,MATCH('Raw Data'!D163,'Raw Data'!$D$2:$D$501,0)),"Unknown Customer"),'Raw Data'!E163)</f>
        <v>Kaylee Hays</v>
      </c>
      <c r="D163" s="2" t="str">
        <f aca="false">PROPER(TRIM('Raw Data'!G163))</f>
        <v>Sacramento</v>
      </c>
      <c r="E163" s="2" t="n">
        <f aca="false">ROUND(VALUE(SUBSTITUTE(TRIM('Raw Data'!M163),"$","")),2)</f>
        <v>86.2</v>
      </c>
      <c r="F163" s="2" t="n">
        <f aca="false">IF('Raw Data'!O163="",0,'Raw Data'!O163)</f>
        <v>0.5</v>
      </c>
      <c r="G163" s="2" t="n">
        <f aca="false">ROUND('Raw Data'!P163,2)</f>
        <v>-25.72</v>
      </c>
      <c r="H163" s="2" t="str">
        <f aca="false">IF('Raw Data'!S163="","Medium",'Raw Data'!S163)</f>
        <v>Critical</v>
      </c>
      <c r="I163" s="2" t="str">
        <f aca="false">IF(E163&lt;100,"Small",IF(E163&lt;500,"Medium",IF(E163&lt;1500,"Large","Very Large")))</f>
        <v>Small</v>
      </c>
    </row>
    <row r="164" customFormat="false" ht="15" hidden="false" customHeight="false" outlineLevel="0" collapsed="false">
      <c r="A164" s="2" t="str">
        <f aca="false">'Raw Data'!A164</f>
        <v>ORD-13185</v>
      </c>
      <c r="B164" s="3" t="n">
        <f aca="false">IFERROR(DATEVALUE('Raw Data'!B164),"Check Format")</f>
        <v>45971</v>
      </c>
      <c r="C164" s="2" t="str">
        <f aca="false">IF('Raw Data'!E164="",IFERROR(INDEX('Raw Data'!$E$2:$E$501,MATCH('Raw Data'!D164,'Raw Data'!$D$2:$D$501,0)),"Unknown Customer"),'Raw Data'!E164)</f>
        <v>Aaron Moore</v>
      </c>
      <c r="D164" s="2" t="str">
        <f aca="false">PROPER(TRIM('Raw Data'!G164))</f>
        <v>Nashville</v>
      </c>
      <c r="E164" s="2" t="n">
        <f aca="false">ROUND(VALUE(SUBSTITUTE(TRIM('Raw Data'!M164),"$","")),2)</f>
        <v>12.48</v>
      </c>
      <c r="F164" s="2" t="n">
        <f aca="false">IF('Raw Data'!O164="",0,'Raw Data'!O164)</f>
        <v>0.1</v>
      </c>
      <c r="G164" s="2" t="n">
        <f aca="false">ROUND('Raw Data'!P164,2)</f>
        <v>1.2</v>
      </c>
      <c r="H164" s="2" t="str">
        <f aca="false">IF('Raw Data'!S164="","Medium",'Raw Data'!S164)</f>
        <v>Critical</v>
      </c>
      <c r="I164" s="2" t="str">
        <f aca="false">IF(E164&lt;100,"Small",IF(E164&lt;500,"Medium",IF(E164&lt;1500,"Large","Very Large")))</f>
        <v>Small</v>
      </c>
    </row>
    <row r="165" customFormat="false" ht="15" hidden="false" customHeight="false" outlineLevel="0" collapsed="false">
      <c r="A165" s="2" t="str">
        <f aca="false">'Raw Data'!A165</f>
        <v>ORD-7207</v>
      </c>
      <c r="B165" s="3" t="n">
        <f aca="false">IFERROR(DATEVALUE('Raw Data'!B165),"Check Format")</f>
        <v>45444</v>
      </c>
      <c r="C165" s="2" t="str">
        <f aca="false">IF('Raw Data'!E165="",IFERROR(INDEX('Raw Data'!$E$2:$E$501,MATCH('Raw Data'!D165,'Raw Data'!$D$2:$D$501,0)),"Unknown Customer"),'Raw Data'!E165)</f>
        <v>Shannon Ramsey</v>
      </c>
      <c r="D165" s="2" t="str">
        <f aca="false">PROPER(TRIM('Raw Data'!G165))</f>
        <v>Raleigh</v>
      </c>
      <c r="E165" s="2" t="n">
        <f aca="false">ROUND(VALUE(SUBSTITUTE(TRIM('Raw Data'!M165),"$","")),2)</f>
        <v>81.24</v>
      </c>
      <c r="F165" s="2" t="n">
        <f aca="false">IF('Raw Data'!O165="",0,'Raw Data'!O165)</f>
        <v>0</v>
      </c>
      <c r="G165" s="2" t="n">
        <f aca="false">ROUND('Raw Data'!P165,2)</f>
        <v>22.22</v>
      </c>
      <c r="H165" s="2" t="str">
        <f aca="false">IF('Raw Data'!S165="","Medium",'Raw Data'!S165)</f>
        <v>Critical</v>
      </c>
      <c r="I165" s="2" t="str">
        <f aca="false">IF(E165&lt;100,"Small",IF(E165&lt;500,"Medium",IF(E165&lt;1500,"Large","Very Large")))</f>
        <v>Small</v>
      </c>
    </row>
    <row r="166" customFormat="false" ht="15" hidden="false" customHeight="false" outlineLevel="0" collapsed="false">
      <c r="A166" s="2" t="str">
        <f aca="false">'Raw Data'!A166</f>
        <v>ORD-5539</v>
      </c>
      <c r="B166" s="2" t="str">
        <f aca="false">IFERROR(DATEVALUE('Raw Data'!B166),"Check Format")</f>
        <v>Check Format</v>
      </c>
      <c r="C166" s="2" t="str">
        <f aca="false">IF('Raw Data'!E166="",IFERROR(INDEX('Raw Data'!$E$2:$E$501,MATCH('Raw Data'!D166,'Raw Data'!$D$2:$D$501,0)),"Unknown Customer"),'Raw Data'!E166)</f>
        <v>Christine Parker</v>
      </c>
      <c r="D166" s="2" t="str">
        <f aca="false">PROPER(TRIM('Raw Data'!G166))</f>
        <v>Tampa</v>
      </c>
      <c r="E166" s="2" t="n">
        <f aca="false">ROUND(VALUE(SUBSTITUTE(TRIM('Raw Data'!M166),"$","")),2)</f>
        <v>211.92</v>
      </c>
      <c r="F166" s="2" t="n">
        <f aca="false">IF('Raw Data'!O166="",0,'Raw Data'!O166)</f>
        <v>0</v>
      </c>
      <c r="G166" s="2" t="n">
        <f aca="false">ROUND('Raw Data'!P166,2)</f>
        <v>75.79</v>
      </c>
      <c r="H166" s="2" t="str">
        <f aca="false">IF('Raw Data'!S166="","Medium",'Raw Data'!S166)</f>
        <v>Low</v>
      </c>
      <c r="I166" s="2" t="str">
        <f aca="false">IF(E166&lt;100,"Small",IF(E166&lt;500,"Medium",IF(E166&lt;1500,"Large","Very Large")))</f>
        <v>Medium</v>
      </c>
    </row>
    <row r="167" customFormat="false" ht="15" hidden="false" customHeight="false" outlineLevel="0" collapsed="false">
      <c r="A167" s="2" t="str">
        <f aca="false">'Raw Data'!A167</f>
        <v>ORD-5921</v>
      </c>
      <c r="B167" s="3" t="n">
        <f aca="false">IFERROR(DATEVALUE('Raw Data'!B167),"Check Format")</f>
        <v>45541</v>
      </c>
      <c r="C167" s="2" t="str">
        <f aca="false">IF('Raw Data'!E167="",IFERROR(INDEX('Raw Data'!$E$2:$E$501,MATCH('Raw Data'!D167,'Raw Data'!$D$2:$D$501,0)),"Unknown Customer"),'Raw Data'!E167)</f>
        <v>Aaron Wise</v>
      </c>
      <c r="D167" s="2" t="str">
        <f aca="false">PROPER(TRIM('Raw Data'!G167))</f>
        <v>Louisville</v>
      </c>
      <c r="E167" s="2" t="n">
        <f aca="false">ROUND(VALUE(SUBSTITUTE(TRIM('Raw Data'!M167),"$","")),2)</f>
        <v>4709.88</v>
      </c>
      <c r="F167" s="2" t="n">
        <f aca="false">IF('Raw Data'!O167="",0,'Raw Data'!O167)</f>
        <v>0.3</v>
      </c>
      <c r="G167" s="2" t="n">
        <f aca="false">ROUND('Raw Data'!P167,2)</f>
        <v>-308.41</v>
      </c>
      <c r="H167" s="2" t="str">
        <f aca="false">IF('Raw Data'!S167="","Medium",'Raw Data'!S167)</f>
        <v>High</v>
      </c>
      <c r="I167" s="2" t="str">
        <f aca="false">IF(E167&lt;100,"Small",IF(E167&lt;500,"Medium",IF(E167&lt;1500,"Large","Very Large")))</f>
        <v>Very Large</v>
      </c>
    </row>
    <row r="168" customFormat="false" ht="15" hidden="false" customHeight="false" outlineLevel="0" collapsed="false">
      <c r="A168" s="2" t="str">
        <f aca="false">'Raw Data'!A168</f>
        <v>ORD-9028</v>
      </c>
      <c r="B168" s="3" t="n">
        <f aca="false">IFERROR(DATEVALUE('Raw Data'!B168),"Check Format")</f>
        <v>46083</v>
      </c>
      <c r="C168" s="2" t="str">
        <f aca="false">IF('Raw Data'!E168="",IFERROR(INDEX('Raw Data'!$E$2:$E$501,MATCH('Raw Data'!D168,'Raw Data'!$D$2:$D$501,0)),"Unknown Customer"),'Raw Data'!E168)</f>
        <v>Brandy Myers</v>
      </c>
      <c r="D168" s="2" t="str">
        <f aca="false">PROPER(TRIM('Raw Data'!G168))</f>
        <v>St. Louis</v>
      </c>
      <c r="E168" s="2" t="n">
        <f aca="false">ROUND(VALUE(SUBSTITUTE(TRIM('Raw Data'!M168),"$","")),2)</f>
        <v>1561.9</v>
      </c>
      <c r="F168" s="2" t="n">
        <f aca="false">IF('Raw Data'!O168="",0,'Raw Data'!O168)</f>
        <v>0.1</v>
      </c>
      <c r="G168" s="2" t="n">
        <f aca="false">ROUND('Raw Data'!P168,2)</f>
        <v>489.07</v>
      </c>
      <c r="H168" s="2" t="str">
        <f aca="false">IF('Raw Data'!S168="","Medium",'Raw Data'!S168)</f>
        <v>High</v>
      </c>
      <c r="I168" s="2" t="str">
        <f aca="false">IF(E168&lt;100,"Small",IF(E168&lt;500,"Medium",IF(E168&lt;1500,"Large","Very Large")))</f>
        <v>Very Large</v>
      </c>
    </row>
    <row r="169" customFormat="false" ht="15" hidden="false" customHeight="false" outlineLevel="0" collapsed="false">
      <c r="A169" s="2" t="str">
        <f aca="false">'Raw Data'!A169</f>
        <v>ORD-5827</v>
      </c>
      <c r="B169" s="3" t="n">
        <f aca="false">IFERROR(DATEVALUE('Raw Data'!B169),"Check Format")</f>
        <v>45330</v>
      </c>
      <c r="C169" s="2" t="str">
        <f aca="false">IF('Raw Data'!E169="",IFERROR(INDEX('Raw Data'!$E$2:$E$501,MATCH('Raw Data'!D169,'Raw Data'!$D$2:$D$501,0)),"Unknown Customer"),'Raw Data'!E169)</f>
        <v>Kevin Price</v>
      </c>
      <c r="D169" s="2" t="str">
        <f aca="false">PROPER(TRIM('Raw Data'!G169))</f>
        <v>Charlotte</v>
      </c>
      <c r="E169" s="2" t="n">
        <f aca="false">ROUND(VALUE(SUBSTITUTE(TRIM('Raw Data'!M169),"$","")),2)</f>
        <v>323.76</v>
      </c>
      <c r="F169" s="2" t="n">
        <f aca="false">IF('Raw Data'!O169="",0,'Raw Data'!O169)</f>
        <v>0.3</v>
      </c>
      <c r="G169" s="2" t="n">
        <f aca="false">ROUND('Raw Data'!P169,2)</f>
        <v>23.36</v>
      </c>
      <c r="H169" s="2" t="str">
        <f aca="false">IF('Raw Data'!S169="","Medium",'Raw Data'!S169)</f>
        <v>High</v>
      </c>
      <c r="I169" s="2" t="str">
        <f aca="false">IF(E169&lt;100,"Small",IF(E169&lt;500,"Medium",IF(E169&lt;1500,"Large","Very Large")))</f>
        <v>Medium</v>
      </c>
    </row>
    <row r="170" customFormat="false" ht="15" hidden="false" customHeight="false" outlineLevel="0" collapsed="false">
      <c r="A170" s="2" t="str">
        <f aca="false">'Raw Data'!A170</f>
        <v>ORD-16998</v>
      </c>
      <c r="B170" s="2" t="str">
        <f aca="false">IFERROR(DATEVALUE('Raw Data'!B170),"Check Format")</f>
        <v>Check Format</v>
      </c>
      <c r="C170" s="2" t="str">
        <f aca="false">IF('Raw Data'!E170="",IFERROR(INDEX('Raw Data'!$E$2:$E$501,MATCH('Raw Data'!D170,'Raw Data'!$D$2:$D$501,0)),"Unknown Customer"),'Raw Data'!E170)</f>
        <v>Cynthia Moore</v>
      </c>
      <c r="D170" s="2" t="str">
        <f aca="false">PROPER(TRIM('Raw Data'!G170))</f>
        <v>Denver</v>
      </c>
      <c r="E170" s="2" t="n">
        <f aca="false">ROUND(VALUE(SUBSTITUTE(TRIM('Raw Data'!M170),"$","")),2)</f>
        <v>420.71</v>
      </c>
      <c r="F170" s="2" t="n">
        <f aca="false">IF('Raw Data'!O170="",0,'Raw Data'!O170)</f>
        <v>0.3</v>
      </c>
      <c r="G170" s="2" t="n">
        <f aca="false">ROUND('Raw Data'!P170,2)</f>
        <v>-4.66</v>
      </c>
      <c r="H170" s="2" t="str">
        <f aca="false">IF('Raw Data'!S170="","Medium",'Raw Data'!S170)</f>
        <v>Medium</v>
      </c>
      <c r="I170" s="2" t="str">
        <f aca="false">IF(E170&lt;100,"Small",IF(E170&lt;500,"Medium",IF(E170&lt;1500,"Large","Very Large")))</f>
        <v>Medium</v>
      </c>
    </row>
    <row r="171" customFormat="false" ht="15" hidden="false" customHeight="false" outlineLevel="0" collapsed="false">
      <c r="A171" s="2" t="str">
        <f aca="false">'Raw Data'!A171</f>
        <v>ORD-14319</v>
      </c>
      <c r="B171" s="3" t="n">
        <f aca="false">IFERROR(DATEVALUE('Raw Data'!B171),"Check Format")</f>
        <v>45474</v>
      </c>
      <c r="C171" s="2" t="str">
        <f aca="false">IF('Raw Data'!E171="",IFERROR(INDEX('Raw Data'!$E$2:$E$501,MATCH('Raw Data'!D171,'Raw Data'!$D$2:$D$501,0)),"Unknown Customer"),'Raw Data'!E171)</f>
        <v>Robin Brown</v>
      </c>
      <c r="D171" s="2" t="str">
        <f aca="false">PROPER(TRIM('Raw Data'!G171))</f>
        <v>Charlotte</v>
      </c>
      <c r="E171" s="2" t="n">
        <f aca="false">ROUND(VALUE(SUBSTITUTE(TRIM('Raw Data'!M171),"$","")),2)</f>
        <v>2042.04</v>
      </c>
      <c r="F171" s="2" t="n">
        <f aca="false">IF('Raw Data'!O171="",0,'Raw Data'!O171)</f>
        <v>0.1</v>
      </c>
      <c r="G171" s="2" t="n">
        <f aca="false">ROUND('Raw Data'!P171,2)</f>
        <v>410.34</v>
      </c>
      <c r="H171" s="2" t="str">
        <f aca="false">IF('Raw Data'!S171="","Medium",'Raw Data'!S171)</f>
        <v>Medium</v>
      </c>
      <c r="I171" s="2" t="str">
        <f aca="false">IF(E171&lt;100,"Small",IF(E171&lt;500,"Medium",IF(E171&lt;1500,"Large","Very Large")))</f>
        <v>Very Large</v>
      </c>
    </row>
    <row r="172" customFormat="false" ht="15" hidden="false" customHeight="false" outlineLevel="0" collapsed="false">
      <c r="A172" s="2" t="str">
        <f aca="false">'Raw Data'!A172</f>
        <v>ORD-14311</v>
      </c>
      <c r="B172" s="2" t="str">
        <f aca="false">IFERROR(DATEVALUE('Raw Data'!B172),"Check Format")</f>
        <v>Check Format</v>
      </c>
      <c r="C172" s="2" t="str">
        <f aca="false">IF('Raw Data'!E172="",IFERROR(INDEX('Raw Data'!$E$2:$E$501,MATCH('Raw Data'!D172,'Raw Data'!$D$2:$D$501,0)),"Unknown Customer"),'Raw Data'!E172)</f>
        <v>Hannah Everett</v>
      </c>
      <c r="D172" s="2" t="str">
        <f aca="false">PROPER(TRIM('Raw Data'!G172))</f>
        <v>Las Vegas</v>
      </c>
      <c r="E172" s="2" t="n">
        <f aca="false">ROUND(VALUE(SUBSTITUTE(TRIM('Raw Data'!M172),"$","")),2)</f>
        <v>12.92</v>
      </c>
      <c r="F172" s="2" t="n">
        <f aca="false">IF('Raw Data'!O172="",0,'Raw Data'!O172)</f>
        <v>0.15</v>
      </c>
      <c r="G172" s="2" t="n">
        <f aca="false">ROUND('Raw Data'!P172,2)</f>
        <v>2.96</v>
      </c>
      <c r="H172" s="2" t="str">
        <f aca="false">IF('Raw Data'!S172="","Medium",'Raw Data'!S172)</f>
        <v>High</v>
      </c>
      <c r="I172" s="2" t="str">
        <f aca="false">IF(E172&lt;100,"Small",IF(E172&lt;500,"Medium",IF(E172&lt;1500,"Large","Very Large")))</f>
        <v>Small</v>
      </c>
    </row>
    <row r="173" customFormat="false" ht="15" hidden="false" customHeight="false" outlineLevel="0" collapsed="false">
      <c r="A173" s="2" t="str">
        <f aca="false">'Raw Data'!A173</f>
        <v>ORD-3800</v>
      </c>
      <c r="B173" s="2" t="str">
        <f aca="false">IFERROR(DATEVALUE('Raw Data'!B173),"Check Format")</f>
        <v>Check Format</v>
      </c>
      <c r="C173" s="2" t="str">
        <f aca="false">IF('Raw Data'!E173="",IFERROR(INDEX('Raw Data'!$E$2:$E$501,MATCH('Raw Data'!D173,'Raw Data'!$D$2:$D$501,0)),"Unknown Customer"),'Raw Data'!E173)</f>
        <v>Elizabeth Holmes</v>
      </c>
      <c r="D173" s="2" t="str">
        <f aca="false">PROPER(TRIM('Raw Data'!G173))</f>
        <v>Tampa</v>
      </c>
      <c r="E173" s="2" t="n">
        <f aca="false">ROUND(VALUE(SUBSTITUTE(TRIM('Raw Data'!M173),"$","")),2)</f>
        <v>395.57</v>
      </c>
      <c r="F173" s="2" t="n">
        <f aca="false">IF('Raw Data'!O173="",0,'Raw Data'!O173)</f>
        <v>0</v>
      </c>
      <c r="G173" s="2" t="n">
        <f aca="false">ROUND('Raw Data'!P173,2)</f>
        <v>142.79</v>
      </c>
      <c r="H173" s="2" t="str">
        <f aca="false">IF('Raw Data'!S173="","Medium",'Raw Data'!S173)</f>
        <v>High</v>
      </c>
      <c r="I173" s="2" t="str">
        <f aca="false">IF(E173&lt;100,"Small",IF(E173&lt;500,"Medium",IF(E173&lt;1500,"Large","Very Large")))</f>
        <v>Medium</v>
      </c>
    </row>
    <row r="174" customFormat="false" ht="15" hidden="false" customHeight="false" outlineLevel="0" collapsed="false">
      <c r="A174" s="2" t="str">
        <f aca="false">'Raw Data'!A174</f>
        <v>ORD-6911</v>
      </c>
      <c r="B174" s="2" t="str">
        <f aca="false">IFERROR(DATEVALUE('Raw Data'!B174),"Check Format")</f>
        <v>Check Format</v>
      </c>
      <c r="C174" s="2" t="str">
        <f aca="false">IF('Raw Data'!E174="",IFERROR(INDEX('Raw Data'!$E$2:$E$501,MATCH('Raw Data'!D174,'Raw Data'!$D$2:$D$501,0)),"Unknown Customer"),'Raw Data'!E174)</f>
        <v>Reginald Morrow</v>
      </c>
      <c r="D174" s="2" t="str">
        <f aca="false">PROPER(TRIM('Raw Data'!G174))</f>
        <v>Columbus</v>
      </c>
      <c r="E174" s="2" t="n">
        <f aca="false">ROUND(VALUE(SUBSTITUTE(TRIM('Raw Data'!M174),"$","")),2)</f>
        <v>10.62</v>
      </c>
      <c r="F174" s="2" t="n">
        <f aca="false">IF('Raw Data'!O174="",0,'Raw Data'!O174)</f>
        <v>0</v>
      </c>
      <c r="G174" s="2" t="n">
        <f aca="false">ROUND('Raw Data'!P174,2)</f>
        <v>0.02</v>
      </c>
      <c r="H174" s="2" t="str">
        <f aca="false">IF('Raw Data'!S174="","Medium",'Raw Data'!S174)</f>
        <v>Medium</v>
      </c>
      <c r="I174" s="2" t="str">
        <f aca="false">IF(E174&lt;100,"Small",IF(E174&lt;500,"Medium",IF(E174&lt;1500,"Large","Very Large")))</f>
        <v>Small</v>
      </c>
    </row>
    <row r="175" customFormat="false" ht="15" hidden="false" customHeight="false" outlineLevel="0" collapsed="false">
      <c r="A175" s="2" t="str">
        <f aca="false">'Raw Data'!A175</f>
        <v>ORD-11444</v>
      </c>
      <c r="B175" s="3" t="n">
        <f aca="false">IFERROR(DATEVALUE('Raw Data'!B175),"Check Format")</f>
        <v>45147</v>
      </c>
      <c r="C175" s="2" t="str">
        <f aca="false">IF('Raw Data'!E175="",IFERROR(INDEX('Raw Data'!$E$2:$E$501,MATCH('Raw Data'!D175,'Raw Data'!$D$2:$D$501,0)),"Unknown Customer"),'Raw Data'!E175)</f>
        <v>Nicole Phillips</v>
      </c>
      <c r="D175" s="2" t="str">
        <f aca="false">PROPER(TRIM('Raw Data'!G175))</f>
        <v>Las Vegas</v>
      </c>
      <c r="E175" s="2" t="n">
        <f aca="false">ROUND(VALUE(SUBSTITUTE(TRIM('Raw Data'!M175),"$","")),2)</f>
        <v>5158.8</v>
      </c>
      <c r="F175" s="2" t="n">
        <f aca="false">IF('Raw Data'!O175="",0,'Raw Data'!O175)</f>
        <v>0.3</v>
      </c>
      <c r="G175" s="2" t="n">
        <f aca="false">ROUND('Raw Data'!P175,2)</f>
        <v>337.6</v>
      </c>
      <c r="H175" s="2" t="str">
        <f aca="false">IF('Raw Data'!S175="","Medium",'Raw Data'!S175)</f>
        <v>Low</v>
      </c>
      <c r="I175" s="2" t="str">
        <f aca="false">IF(E175&lt;100,"Small",IF(E175&lt;500,"Medium",IF(E175&lt;1500,"Large","Very Large")))</f>
        <v>Very Large</v>
      </c>
    </row>
    <row r="176" customFormat="false" ht="15" hidden="false" customHeight="false" outlineLevel="0" collapsed="false">
      <c r="A176" s="2" t="str">
        <f aca="false">'Raw Data'!A176</f>
        <v>ORD-11836</v>
      </c>
      <c r="B176" s="2" t="str">
        <f aca="false">IFERROR(DATEVALUE('Raw Data'!B176),"Check Format")</f>
        <v>Check Format</v>
      </c>
      <c r="C176" s="2" t="str">
        <f aca="false">IF('Raw Data'!E176="",IFERROR(INDEX('Raw Data'!$E$2:$E$501,MATCH('Raw Data'!D176,'Raw Data'!$D$2:$D$501,0)),"Unknown Customer"),'Raw Data'!E176)</f>
        <v>Michael Cooper</v>
      </c>
      <c r="D176" s="2" t="str">
        <f aca="false">PROPER(TRIM('Raw Data'!G176))</f>
        <v>Atlanta</v>
      </c>
      <c r="E176" s="2" t="n">
        <f aca="false">ROUND(VALUE(SUBSTITUTE(TRIM('Raw Data'!M176),"$","")),2)</f>
        <v>232.38</v>
      </c>
      <c r="F176" s="2" t="n">
        <f aca="false">IF('Raw Data'!O176="",0,'Raw Data'!O176)</f>
        <v>0.4</v>
      </c>
      <c r="G176" s="2" t="n">
        <f aca="false">ROUND('Raw Data'!P176,2)</f>
        <v>-30.58</v>
      </c>
      <c r="H176" s="2" t="str">
        <f aca="false">IF('Raw Data'!S176="","Medium",'Raw Data'!S176)</f>
        <v>Medium</v>
      </c>
      <c r="I176" s="2" t="str">
        <f aca="false">IF(E176&lt;100,"Small",IF(E176&lt;500,"Medium",IF(E176&lt;1500,"Large","Very Large")))</f>
        <v>Medium</v>
      </c>
    </row>
    <row r="177" customFormat="false" ht="15" hidden="false" customHeight="false" outlineLevel="0" collapsed="false">
      <c r="A177" s="2" t="str">
        <f aca="false">'Raw Data'!A177</f>
        <v>ORD-16084</v>
      </c>
      <c r="B177" s="3" t="n">
        <f aca="false">IFERROR(DATEVALUE('Raw Data'!B177),"Check Format")</f>
        <v>45273</v>
      </c>
      <c r="C177" s="2" t="str">
        <f aca="false">IF('Raw Data'!E177="",IFERROR(INDEX('Raw Data'!$E$2:$E$501,MATCH('Raw Data'!D177,'Raw Data'!$D$2:$D$501,0)),"Unknown Customer"),'Raw Data'!E177)</f>
        <v>Nicholas Rush</v>
      </c>
      <c r="D177" s="2" t="str">
        <f aca="false">PROPER(TRIM('Raw Data'!G177))</f>
        <v>San Antonio</v>
      </c>
      <c r="E177" s="2" t="n">
        <f aca="false">ROUND(VALUE(SUBSTITUTE(TRIM('Raw Data'!M177),"$","")),2)</f>
        <v>87.12</v>
      </c>
      <c r="F177" s="2" t="n">
        <f aca="false">IF('Raw Data'!O177="",0,'Raw Data'!O177)</f>
        <v>0</v>
      </c>
      <c r="G177" s="2" t="n">
        <f aca="false">ROUND('Raw Data'!P177,2)</f>
        <v>15.13</v>
      </c>
      <c r="H177" s="2" t="str">
        <f aca="false">IF('Raw Data'!S177="","Medium",'Raw Data'!S177)</f>
        <v>Medium</v>
      </c>
      <c r="I177" s="2" t="str">
        <f aca="false">IF(E177&lt;100,"Small",IF(E177&lt;500,"Medium",IF(E177&lt;1500,"Large","Very Large")))</f>
        <v>Small</v>
      </c>
    </row>
    <row r="178" customFormat="false" ht="15" hidden="false" customHeight="false" outlineLevel="0" collapsed="false">
      <c r="A178" s="2" t="str">
        <f aca="false">'Raw Data'!A178</f>
        <v>ORD-12059</v>
      </c>
      <c r="B178" s="3" t="n">
        <f aca="false">IFERROR(DATEVALUE('Raw Data'!B178),"Check Format")</f>
        <v>45932</v>
      </c>
      <c r="C178" s="2" t="str">
        <f aca="false">IF('Raw Data'!E178="",IFERROR(INDEX('Raw Data'!$E$2:$E$501,MATCH('Raw Data'!D178,'Raw Data'!$D$2:$D$501,0)),"Unknown Customer"),'Raw Data'!E178)</f>
        <v>Austin Baker</v>
      </c>
      <c r="D178" s="2" t="str">
        <f aca="false">PROPER(TRIM('Raw Data'!G178))</f>
        <v>Atlanta</v>
      </c>
      <c r="E178" s="2" t="n">
        <f aca="false">ROUND(VALUE(SUBSTITUTE(TRIM('Raw Data'!M178),"$","")),2)</f>
        <v>1647.36</v>
      </c>
      <c r="F178" s="2" t="n">
        <f aca="false">IF('Raw Data'!O178="",0,'Raw Data'!O178)</f>
        <v>0.4</v>
      </c>
      <c r="G178" s="2" t="n">
        <f aca="false">ROUND('Raw Data'!P178,2)</f>
        <v>-158.52</v>
      </c>
      <c r="H178" s="2" t="str">
        <f aca="false">IF('Raw Data'!S178="","Medium",'Raw Data'!S178)</f>
        <v>Low</v>
      </c>
      <c r="I178" s="2" t="str">
        <f aca="false">IF(E178&lt;100,"Small",IF(E178&lt;500,"Medium",IF(E178&lt;1500,"Large","Very Large")))</f>
        <v>Very Large</v>
      </c>
    </row>
    <row r="179" customFormat="false" ht="15" hidden="false" customHeight="false" outlineLevel="0" collapsed="false">
      <c r="A179" s="2" t="str">
        <f aca="false">'Raw Data'!A179</f>
        <v>ORD-17527</v>
      </c>
      <c r="B179" s="3" t="n">
        <f aca="false">IFERROR(DATEVALUE('Raw Data'!B179),"Check Format")</f>
        <v>46009</v>
      </c>
      <c r="C179" s="2" t="str">
        <f aca="false">IF('Raw Data'!E179="",IFERROR(INDEX('Raw Data'!$E$2:$E$501,MATCH('Raw Data'!D179,'Raw Data'!$D$2:$D$501,0)),"Unknown Customer"),'Raw Data'!E179)</f>
        <v>Katherine Martinez</v>
      </c>
      <c r="D179" s="2" t="str">
        <f aca="false">PROPER(TRIM('Raw Data'!G179))</f>
        <v>Nashville</v>
      </c>
      <c r="E179" s="2" t="n">
        <f aca="false">ROUND(VALUE(SUBSTITUTE(TRIM('Raw Data'!M179),"$","")),2)</f>
        <v>2061.12</v>
      </c>
      <c r="F179" s="2" t="n">
        <f aca="false">IF('Raw Data'!O179="",0,'Raw Data'!O179)</f>
        <v>0.3</v>
      </c>
      <c r="G179" s="2" t="n">
        <f aca="false">ROUND('Raw Data'!P179,2)</f>
        <v>-16.74</v>
      </c>
      <c r="H179" s="2" t="str">
        <f aca="false">IF('Raw Data'!S179="","Medium",'Raw Data'!S179)</f>
        <v>Low</v>
      </c>
      <c r="I179" s="2" t="str">
        <f aca="false">IF(E179&lt;100,"Small",IF(E179&lt;500,"Medium",IF(E179&lt;1500,"Large","Very Large")))</f>
        <v>Very Large</v>
      </c>
    </row>
    <row r="180" customFormat="false" ht="15" hidden="false" customHeight="false" outlineLevel="0" collapsed="false">
      <c r="A180" s="2" t="str">
        <f aca="false">'Raw Data'!A180</f>
        <v>ORD-5383</v>
      </c>
      <c r="B180" s="3" t="n">
        <f aca="false">IFERROR(DATEVALUE('Raw Data'!B180),"Check Format")</f>
        <v>46071</v>
      </c>
      <c r="C180" s="2" t="str">
        <f aca="false">IF('Raw Data'!E180="",IFERROR(INDEX('Raw Data'!$E$2:$E$501,MATCH('Raw Data'!D180,'Raw Data'!$D$2:$D$501,0)),"Unknown Customer"),'Raw Data'!E180)</f>
        <v>Arthur Mcneil</v>
      </c>
      <c r="D180" s="2" t="str">
        <f aca="false">PROPER(TRIM('Raw Data'!G180))</f>
        <v>Pittsburgh</v>
      </c>
      <c r="E180" s="2" t="n">
        <f aca="false">ROUND(VALUE(SUBSTITUTE(TRIM('Raw Data'!M180),"$","")),2)</f>
        <v>140.58</v>
      </c>
      <c r="F180" s="2" t="n">
        <f aca="false">IF('Raw Data'!O180="",0,'Raw Data'!O180)</f>
        <v>0</v>
      </c>
      <c r="G180" s="2" t="n">
        <f aca="false">ROUND('Raw Data'!P180,2)</f>
        <v>49.4</v>
      </c>
      <c r="H180" s="2" t="str">
        <f aca="false">IF('Raw Data'!S180="","Medium",'Raw Data'!S180)</f>
        <v>Low</v>
      </c>
      <c r="I180" s="2" t="str">
        <f aca="false">IF(E180&lt;100,"Small",IF(E180&lt;500,"Medium",IF(E180&lt;1500,"Large","Very Large")))</f>
        <v>Medium</v>
      </c>
    </row>
    <row r="181" customFormat="false" ht="15" hidden="false" customHeight="false" outlineLevel="0" collapsed="false">
      <c r="A181" s="2" t="str">
        <f aca="false">'Raw Data'!A181</f>
        <v>ORD-5228</v>
      </c>
      <c r="B181" s="2" t="str">
        <f aca="false">IFERROR(DATEVALUE('Raw Data'!B181),"Check Format")</f>
        <v>Check Format</v>
      </c>
      <c r="C181" s="2" t="str">
        <f aca="false">IF('Raw Data'!E181="",IFERROR(INDEX('Raw Data'!$E$2:$E$501,MATCH('Raw Data'!D181,'Raw Data'!$D$2:$D$501,0)),"Unknown Customer"),'Raw Data'!E181)</f>
        <v>Matthew Mcmillan</v>
      </c>
      <c r="D181" s="2" t="str">
        <f aca="false">PROPER(TRIM('Raw Data'!G181))</f>
        <v>Las Vegas</v>
      </c>
      <c r="E181" s="2" t="n">
        <f aca="false">ROUND(VALUE(SUBSTITUTE(TRIM('Raw Data'!M181),"$","")),2)</f>
        <v>289.24</v>
      </c>
      <c r="F181" s="2" t="n">
        <f aca="false">IF('Raw Data'!O181="",0,'Raw Data'!O181)</f>
        <v>0.3</v>
      </c>
      <c r="G181" s="2" t="n">
        <f aca="false">ROUND('Raw Data'!P181,2)</f>
        <v>-17.25</v>
      </c>
      <c r="H181" s="2" t="str">
        <f aca="false">IF('Raw Data'!S181="","Medium",'Raw Data'!S181)</f>
        <v>Low</v>
      </c>
      <c r="I181" s="2" t="str">
        <f aca="false">IF(E181&lt;100,"Small",IF(E181&lt;500,"Medium",IF(E181&lt;1500,"Large","Very Large")))</f>
        <v>Medium</v>
      </c>
    </row>
    <row r="182" customFormat="false" ht="15" hidden="false" customHeight="false" outlineLevel="0" collapsed="false">
      <c r="A182" s="2" t="str">
        <f aca="false">'Raw Data'!A182</f>
        <v>ORD-16027</v>
      </c>
      <c r="B182" s="2" t="str">
        <f aca="false">IFERROR(DATEVALUE('Raw Data'!B182),"Check Format")</f>
        <v>Check Format</v>
      </c>
      <c r="C182" s="2" t="str">
        <f aca="false">IF('Raw Data'!E182="",IFERROR(INDEX('Raw Data'!$E$2:$E$501,MATCH('Raw Data'!D182,'Raw Data'!$D$2:$D$501,0)),"Unknown Customer"),'Raw Data'!E182)</f>
        <v>Brittney Phillips</v>
      </c>
      <c r="D182" s="2" t="str">
        <f aca="false">PROPER(TRIM('Raw Data'!G182))</f>
        <v>Memphis</v>
      </c>
      <c r="E182" s="2" t="n">
        <f aca="false">ROUND(VALUE(SUBSTITUTE(TRIM('Raw Data'!M182),"$","")),2)</f>
        <v>5752.7</v>
      </c>
      <c r="F182" s="2" t="n">
        <f aca="false">IF('Raw Data'!O182="",0,'Raw Data'!O182)</f>
        <v>0</v>
      </c>
      <c r="G182" s="2" t="n">
        <f aca="false">ROUND('Raw Data'!P182,2)</f>
        <v>1476.07</v>
      </c>
      <c r="H182" s="2" t="str">
        <f aca="false">IF('Raw Data'!S182="","Medium",'Raw Data'!S182)</f>
        <v>High</v>
      </c>
      <c r="I182" s="2" t="str">
        <f aca="false">IF(E182&lt;100,"Small",IF(E182&lt;500,"Medium",IF(E182&lt;1500,"Large","Very Large")))</f>
        <v>Very Large</v>
      </c>
    </row>
    <row r="183" customFormat="false" ht="15" hidden="false" customHeight="false" outlineLevel="0" collapsed="false">
      <c r="A183" s="2" t="str">
        <f aca="false">'Raw Data'!A183</f>
        <v>ORD-13602</v>
      </c>
      <c r="B183" s="3" t="n">
        <f aca="false">IFERROR(DATEVALUE('Raw Data'!B183),"Check Format")</f>
        <v>45989</v>
      </c>
      <c r="C183" s="2" t="str">
        <f aca="false">IF('Raw Data'!E183="",IFERROR(INDEX('Raw Data'!$E$2:$E$501,MATCH('Raw Data'!D183,'Raw Data'!$D$2:$D$501,0)),"Unknown Customer"),'Raw Data'!E183)</f>
        <v>Keith Jennings</v>
      </c>
      <c r="D183" s="2" t="str">
        <f aca="false">PROPER(TRIM('Raw Data'!G183))</f>
        <v>Eugene</v>
      </c>
      <c r="E183" s="2" t="n">
        <f aca="false">ROUND(VALUE(SUBSTITUTE(TRIM('Raw Data'!M183),"$","")),2)</f>
        <v>3589.29</v>
      </c>
      <c r="F183" s="2" t="n">
        <f aca="false">IF('Raw Data'!O183="",0,'Raw Data'!O183)</f>
        <v>0</v>
      </c>
      <c r="G183" s="2" t="n">
        <f aca="false">ROUND('Raw Data'!P183,2)</f>
        <v>1178.01</v>
      </c>
      <c r="H183" s="2" t="str">
        <f aca="false">IF('Raw Data'!S183="","Medium",'Raw Data'!S183)</f>
        <v>Critical</v>
      </c>
      <c r="I183" s="2" t="str">
        <f aca="false">IF(E183&lt;100,"Small",IF(E183&lt;500,"Medium",IF(E183&lt;1500,"Large","Very Large")))</f>
        <v>Very Large</v>
      </c>
    </row>
    <row r="184" customFormat="false" ht="15" hidden="false" customHeight="false" outlineLevel="0" collapsed="false">
      <c r="A184" s="2" t="str">
        <f aca="false">'Raw Data'!A184</f>
        <v>ORD-3413</v>
      </c>
      <c r="B184" s="2" t="str">
        <f aca="false">IFERROR(DATEVALUE('Raw Data'!B184),"Check Format")</f>
        <v>Check Format</v>
      </c>
      <c r="C184" s="2" t="str">
        <f aca="false">IF('Raw Data'!E184="",IFERROR(INDEX('Raw Data'!$E$2:$E$501,MATCH('Raw Data'!D184,'Raw Data'!$D$2:$D$501,0)),"Unknown Customer"),'Raw Data'!E184)</f>
        <v>Antonio Garcia</v>
      </c>
      <c r="D184" s="2" t="str">
        <f aca="false">PROPER(TRIM('Raw Data'!G184))</f>
        <v>Duluth</v>
      </c>
      <c r="E184" s="2" t="n">
        <f aca="false">ROUND(VALUE(SUBSTITUTE(TRIM('Raw Data'!M184),"$","")),2)</f>
        <v>108.84</v>
      </c>
      <c r="F184" s="2" t="n">
        <f aca="false">IF('Raw Data'!O184="",0,'Raw Data'!O184)</f>
        <v>0.5</v>
      </c>
      <c r="G184" s="2" t="n">
        <f aca="false">ROUND('Raw Data'!P184,2)</f>
        <v>-6.73</v>
      </c>
      <c r="H184" s="2" t="str">
        <f aca="false">IF('Raw Data'!S184="","Medium",'Raw Data'!S184)</f>
        <v>Low</v>
      </c>
      <c r="I184" s="2" t="str">
        <f aca="false">IF(E184&lt;100,"Small",IF(E184&lt;500,"Medium",IF(E184&lt;1500,"Large","Very Large")))</f>
        <v>Medium</v>
      </c>
    </row>
    <row r="185" customFormat="false" ht="15" hidden="false" customHeight="false" outlineLevel="0" collapsed="false">
      <c r="A185" s="2" t="str">
        <f aca="false">'Raw Data'!A185</f>
        <v>ORD-13067</v>
      </c>
      <c r="B185" s="2" t="str">
        <f aca="false">IFERROR(DATEVALUE('Raw Data'!B185),"Check Format")</f>
        <v>Check Format</v>
      </c>
      <c r="C185" s="2" t="str">
        <f aca="false">IF('Raw Data'!E185="",IFERROR(INDEX('Raw Data'!$E$2:$E$501,MATCH('Raw Data'!D185,'Raw Data'!$D$2:$D$501,0)),"Unknown Customer"),'Raw Data'!E185)</f>
        <v>Adam Jackson</v>
      </c>
      <c r="D185" s="2" t="str">
        <f aca="false">PROPER(TRIM('Raw Data'!G185))</f>
        <v>Spokane</v>
      </c>
      <c r="E185" s="2" t="n">
        <f aca="false">ROUND(VALUE(SUBSTITUTE(TRIM('Raw Data'!M185),"$","")),2)</f>
        <v>733.56</v>
      </c>
      <c r="F185" s="2" t="n">
        <f aca="false">IF('Raw Data'!O185="",0,'Raw Data'!O185)</f>
        <v>0</v>
      </c>
      <c r="G185" s="2" t="n">
        <f aca="false">ROUND('Raw Data'!P185,2)</f>
        <v>273.23</v>
      </c>
      <c r="H185" s="2" t="str">
        <f aca="false">IF('Raw Data'!S185="","Medium",'Raw Data'!S185)</f>
        <v>Low</v>
      </c>
      <c r="I185" s="2" t="str">
        <f aca="false">IF(E185&lt;100,"Small",IF(E185&lt;500,"Medium",IF(E185&lt;1500,"Large","Very Large")))</f>
        <v>Large</v>
      </c>
    </row>
    <row r="186" customFormat="false" ht="15" hidden="false" customHeight="false" outlineLevel="0" collapsed="false">
      <c r="A186" s="2" t="str">
        <f aca="false">'Raw Data'!A186</f>
        <v>ORD-9625</v>
      </c>
      <c r="B186" s="3" t="n">
        <f aca="false">IFERROR(DATEVALUE('Raw Data'!B186),"Check Format")</f>
        <v>45993</v>
      </c>
      <c r="C186" s="2" t="str">
        <f aca="false">IF('Raw Data'!E186="",IFERROR(INDEX('Raw Data'!$E$2:$E$501,MATCH('Raw Data'!D186,'Raw Data'!$D$2:$D$501,0)),"Unknown Customer"),'Raw Data'!E186)</f>
        <v>Kyle Chambers</v>
      </c>
      <c r="D186" s="2" t="str">
        <f aca="false">PROPER(TRIM('Raw Data'!G186))</f>
        <v>Cleveland</v>
      </c>
      <c r="E186" s="2" t="n">
        <f aca="false">ROUND(VALUE(SUBSTITUTE(TRIM('Raw Data'!M186),"$","")),2)</f>
        <v>1197.27</v>
      </c>
      <c r="F186" s="2" t="n">
        <f aca="false">IF('Raw Data'!O186="",0,'Raw Data'!O186)</f>
        <v>0.2</v>
      </c>
      <c r="G186" s="2" t="n">
        <f aca="false">ROUND('Raw Data'!P186,2)</f>
        <v>-28.95</v>
      </c>
      <c r="H186" s="2" t="str">
        <f aca="false">IF('Raw Data'!S186="","Medium",'Raw Data'!S186)</f>
        <v>Critical</v>
      </c>
      <c r="I186" s="2" t="str">
        <f aca="false">IF(E186&lt;100,"Small",IF(E186&lt;500,"Medium",IF(E186&lt;1500,"Large","Very Large")))</f>
        <v>Large</v>
      </c>
    </row>
    <row r="187" customFormat="false" ht="15" hidden="false" customHeight="false" outlineLevel="0" collapsed="false">
      <c r="A187" s="2" t="str">
        <f aca="false">'Raw Data'!A187</f>
        <v>ORD-9495</v>
      </c>
      <c r="B187" s="3" t="n">
        <f aca="false">IFERROR(DATEVALUE('Raw Data'!B187),"Check Format")</f>
        <v>45942</v>
      </c>
      <c r="C187" s="2" t="str">
        <f aca="false">IF('Raw Data'!E187="",IFERROR(INDEX('Raw Data'!$E$2:$E$501,MATCH('Raw Data'!D187,'Raw Data'!$D$2:$D$501,0)),"Unknown Customer"),'Raw Data'!E187)</f>
        <v>Chelsea Nguyen</v>
      </c>
      <c r="D187" s="2" t="str">
        <f aca="false">PROPER(TRIM('Raw Data'!G187))</f>
        <v>Worcester</v>
      </c>
      <c r="E187" s="2" t="n">
        <f aca="false">ROUND(VALUE(SUBSTITUTE(TRIM('Raw Data'!M187),"$","")),2)</f>
        <v>3105.3</v>
      </c>
      <c r="F187" s="2" t="n">
        <f aca="false">IF('Raw Data'!O187="",0,'Raw Data'!O187)</f>
        <v>0</v>
      </c>
      <c r="G187" s="2" t="n">
        <f aca="false">ROUND('Raw Data'!P187,2)</f>
        <v>1332.12</v>
      </c>
      <c r="H187" s="2" t="str">
        <f aca="false">IF('Raw Data'!S187="","Medium",'Raw Data'!S187)</f>
        <v>Critical</v>
      </c>
      <c r="I187" s="2" t="str">
        <f aca="false">IF(E187&lt;100,"Small",IF(E187&lt;500,"Medium",IF(E187&lt;1500,"Large","Very Large")))</f>
        <v>Very Large</v>
      </c>
    </row>
    <row r="188" customFormat="false" ht="15" hidden="false" customHeight="false" outlineLevel="0" collapsed="false">
      <c r="A188" s="2" t="str">
        <f aca="false">'Raw Data'!A188</f>
        <v>ORD-11022</v>
      </c>
      <c r="B188" s="2" t="str">
        <f aca="false">IFERROR(DATEVALUE('Raw Data'!B188),"Check Format")</f>
        <v>Check Format</v>
      </c>
      <c r="C188" s="2" t="str">
        <f aca="false">IF('Raw Data'!E188="",IFERROR(INDEX('Raw Data'!$E$2:$E$501,MATCH('Raw Data'!D188,'Raw Data'!$D$2:$D$501,0)),"Unknown Customer"),'Raw Data'!E188)</f>
        <v>Brian Ramirez</v>
      </c>
      <c r="D188" s="2" t="str">
        <f aca="false">PROPER(TRIM('Raw Data'!G188))</f>
        <v>Richmond</v>
      </c>
      <c r="E188" s="2" t="n">
        <f aca="false">ROUND(VALUE(SUBSTITUTE(TRIM('Raw Data'!M188),"$","")),2)</f>
        <v>893</v>
      </c>
      <c r="F188" s="2" t="n">
        <f aca="false">IF('Raw Data'!O188="",0,'Raw Data'!O188)</f>
        <v>0.1</v>
      </c>
      <c r="G188" s="2" t="n">
        <f aca="false">ROUND('Raw Data'!P188,2)</f>
        <v>80.62</v>
      </c>
      <c r="H188" s="2" t="str">
        <f aca="false">IF('Raw Data'!S188="","Medium",'Raw Data'!S188)</f>
        <v>Medium</v>
      </c>
      <c r="I188" s="2" t="str">
        <f aca="false">IF(E188&lt;100,"Small",IF(E188&lt;500,"Medium",IF(E188&lt;1500,"Large","Very Large")))</f>
        <v>Large</v>
      </c>
    </row>
    <row r="189" customFormat="false" ht="15" hidden="false" customHeight="false" outlineLevel="0" collapsed="false">
      <c r="A189" s="2" t="str">
        <f aca="false">'Raw Data'!A189</f>
        <v>ORD-14299</v>
      </c>
      <c r="B189" s="3" t="n">
        <f aca="false">IFERROR(DATEVALUE('Raw Data'!B189),"Check Format")</f>
        <v>45130</v>
      </c>
      <c r="C189" s="2" t="str">
        <f aca="false">IF('Raw Data'!E189="",IFERROR(INDEX('Raw Data'!$E$2:$E$501,MATCH('Raw Data'!D189,'Raw Data'!$D$2:$D$501,0)),"Unknown Customer"),'Raw Data'!E189)</f>
        <v>Kevin Johnson</v>
      </c>
      <c r="D189" s="2" t="str">
        <f aca="false">PROPER(TRIM('Raw Data'!G189))</f>
        <v>Miami</v>
      </c>
      <c r="E189" s="2" t="n">
        <f aca="false">ROUND(VALUE(SUBSTITUTE(TRIM('Raw Data'!M189),"$","")),2)</f>
        <v>240.5</v>
      </c>
      <c r="F189" s="2" t="n">
        <f aca="false">IF('Raw Data'!O189="",0,'Raw Data'!O189)</f>
        <v>0.15</v>
      </c>
      <c r="G189" s="2" t="n">
        <f aca="false">ROUND('Raw Data'!P189,2)</f>
        <v>25</v>
      </c>
      <c r="H189" s="2" t="str">
        <f aca="false">IF('Raw Data'!S189="","Medium",'Raw Data'!S189)</f>
        <v>Critical</v>
      </c>
      <c r="I189" s="2" t="str">
        <f aca="false">IF(E189&lt;100,"Small",IF(E189&lt;500,"Medium",IF(E189&lt;1500,"Large","Very Large")))</f>
        <v>Medium</v>
      </c>
    </row>
    <row r="190" customFormat="false" ht="15" hidden="false" customHeight="false" outlineLevel="0" collapsed="false">
      <c r="A190" s="2" t="str">
        <f aca="false">'Raw Data'!A190</f>
        <v>ORD-4623</v>
      </c>
      <c r="B190" s="3" t="n">
        <f aca="false">IFERROR(DATEVALUE('Raw Data'!B190),"Check Format")</f>
        <v>45924</v>
      </c>
      <c r="C190" s="2" t="str">
        <f aca="false">IF('Raw Data'!E190="",IFERROR(INDEX('Raw Data'!$E$2:$E$501,MATCH('Raw Data'!D190,'Raw Data'!$D$2:$D$501,0)),"Unknown Customer"),'Raw Data'!E190)</f>
        <v>Scott Alexander</v>
      </c>
      <c r="D190" s="2" t="str">
        <f aca="false">PROPER(TRIM('Raw Data'!G190))</f>
        <v>Nashville</v>
      </c>
      <c r="E190" s="2" t="n">
        <f aca="false">ROUND(VALUE(SUBSTITUTE(TRIM('Raw Data'!M190),"$","")),2)</f>
        <v>1288.17</v>
      </c>
      <c r="F190" s="2" t="n">
        <f aca="false">IF('Raw Data'!O190="",0,'Raw Data'!O190)</f>
        <v>0.3</v>
      </c>
      <c r="G190" s="2" t="n">
        <f aca="false">ROUND('Raw Data'!P190,2)</f>
        <v>186.66</v>
      </c>
      <c r="H190" s="2" t="str">
        <f aca="false">IF('Raw Data'!S190="","Medium",'Raw Data'!S190)</f>
        <v>Low</v>
      </c>
      <c r="I190" s="2" t="str">
        <f aca="false">IF(E190&lt;100,"Small",IF(E190&lt;500,"Medium",IF(E190&lt;1500,"Large","Very Large")))</f>
        <v>Large</v>
      </c>
    </row>
    <row r="191" customFormat="false" ht="15" hidden="false" customHeight="false" outlineLevel="0" collapsed="false">
      <c r="A191" s="2" t="str">
        <f aca="false">'Raw Data'!A191</f>
        <v>ORD-12554</v>
      </c>
      <c r="B191" s="3" t="n">
        <f aca="false">IFERROR(DATEVALUE('Raw Data'!B191),"Check Format")</f>
        <v>46055</v>
      </c>
      <c r="C191" s="2" t="str">
        <f aca="false">IF('Raw Data'!E191="",IFERROR(INDEX('Raw Data'!$E$2:$E$501,MATCH('Raw Data'!D191,'Raw Data'!$D$2:$D$501,0)),"Unknown Customer"),'Raw Data'!E191)</f>
        <v>Carol Taylor</v>
      </c>
      <c r="D191" s="2" t="str">
        <f aca="false">PROPER(TRIM('Raw Data'!G191))</f>
        <v>Denver</v>
      </c>
      <c r="E191" s="2" t="n">
        <f aca="false">ROUND(VALUE(SUBSTITUTE(TRIM('Raw Data'!M191),"$","")),2)</f>
        <v>2702.7</v>
      </c>
      <c r="F191" s="2" t="n">
        <f aca="false">IF('Raw Data'!O191="",0,'Raw Data'!O191)</f>
        <v>0.2</v>
      </c>
      <c r="G191" s="2" t="n">
        <f aca="false">ROUND('Raw Data'!P191,2)</f>
        <v>127.68</v>
      </c>
      <c r="H191" s="2" t="str">
        <f aca="false">IF('Raw Data'!S191="","Medium",'Raw Data'!S191)</f>
        <v>High</v>
      </c>
      <c r="I191" s="2" t="str">
        <f aca="false">IF(E191&lt;100,"Small",IF(E191&lt;500,"Medium",IF(E191&lt;1500,"Large","Very Large")))</f>
        <v>Very Large</v>
      </c>
    </row>
    <row r="192" customFormat="false" ht="15" hidden="false" customHeight="false" outlineLevel="0" collapsed="false">
      <c r="A192" s="2" t="str">
        <f aca="false">'Raw Data'!A192</f>
        <v>ORD-14977</v>
      </c>
      <c r="B192" s="3" t="n">
        <f aca="false">IFERROR(DATEVALUE('Raw Data'!B192),"Check Format")</f>
        <v>46001</v>
      </c>
      <c r="C192" s="2" t="str">
        <f aca="false">IF('Raw Data'!E192="",IFERROR(INDEX('Raw Data'!$E$2:$E$501,MATCH('Raw Data'!D192,'Raw Data'!$D$2:$D$501,0)),"Unknown Customer"),'Raw Data'!E192)</f>
        <v>Catherine Davis</v>
      </c>
      <c r="D192" s="2" t="str">
        <f aca="false">PROPER(TRIM('Raw Data'!G192))</f>
        <v>New York City</v>
      </c>
      <c r="E192" s="2" t="n">
        <f aca="false">ROUND(VALUE(SUBSTITUTE(TRIM('Raw Data'!M192),"$","")),2)</f>
        <v>4596.06</v>
      </c>
      <c r="F192" s="2" t="n">
        <f aca="false">IF('Raw Data'!O192="",0,'Raw Data'!O192)</f>
        <v>0.15</v>
      </c>
      <c r="G192" s="2" t="n">
        <f aca="false">ROUND('Raw Data'!P192,2)</f>
        <v>198.91</v>
      </c>
      <c r="H192" s="2" t="str">
        <f aca="false">IF('Raw Data'!S192="","Medium",'Raw Data'!S192)</f>
        <v>Critical</v>
      </c>
      <c r="I192" s="2" t="str">
        <f aca="false">IF(E192&lt;100,"Small",IF(E192&lt;500,"Medium",IF(E192&lt;1500,"Large","Very Large")))</f>
        <v>Very Large</v>
      </c>
    </row>
    <row r="193" customFormat="false" ht="15" hidden="false" customHeight="false" outlineLevel="0" collapsed="false">
      <c r="A193" s="2" t="str">
        <f aca="false">'Raw Data'!A193</f>
        <v>ORD-16871</v>
      </c>
      <c r="B193" s="2" t="str">
        <f aca="false">IFERROR(DATEVALUE('Raw Data'!B193),"Check Format")</f>
        <v>Check Format</v>
      </c>
      <c r="C193" s="2" t="str">
        <f aca="false">IF('Raw Data'!E193="",IFERROR(INDEX('Raw Data'!$E$2:$E$501,MATCH('Raw Data'!D193,'Raw Data'!$D$2:$D$501,0)),"Unknown Customer"),'Raw Data'!E193)</f>
        <v>Vincent Novak</v>
      </c>
      <c r="D193" s="2" t="str">
        <f aca="false">PROPER(TRIM('Raw Data'!G193))</f>
        <v>Portland</v>
      </c>
      <c r="E193" s="2" t="n">
        <f aca="false">ROUND(VALUE(SUBSTITUTE(TRIM('Raw Data'!M193),"$","")),2)</f>
        <v>117</v>
      </c>
      <c r="F193" s="2" t="n">
        <f aca="false">IF('Raw Data'!O193="",0,'Raw Data'!O193)</f>
        <v>0.2</v>
      </c>
      <c r="G193" s="2" t="n">
        <f aca="false">ROUND('Raw Data'!P193,2)</f>
        <v>13.42</v>
      </c>
      <c r="H193" s="2" t="str">
        <f aca="false">IF('Raw Data'!S193="","Medium",'Raw Data'!S193)</f>
        <v>High</v>
      </c>
      <c r="I193" s="2" t="str">
        <f aca="false">IF(E193&lt;100,"Small",IF(E193&lt;500,"Medium",IF(E193&lt;1500,"Large","Very Large")))</f>
        <v>Medium</v>
      </c>
    </row>
    <row r="194" customFormat="false" ht="15" hidden="false" customHeight="false" outlineLevel="0" collapsed="false">
      <c r="A194" s="2" t="str">
        <f aca="false">'Raw Data'!A194</f>
        <v>ORD-16587</v>
      </c>
      <c r="B194" s="3" t="n">
        <f aca="false">IFERROR(DATEVALUE('Raw Data'!B194),"Check Format")</f>
        <v>46144</v>
      </c>
      <c r="C194" s="2" t="str">
        <f aca="false">IF('Raw Data'!E194="",IFERROR(INDEX('Raw Data'!$E$2:$E$501,MATCH('Raw Data'!D194,'Raw Data'!$D$2:$D$501,0)),"Unknown Customer"),'Raw Data'!E194)</f>
        <v>Dale Ryan</v>
      </c>
      <c r="D194" s="2" t="str">
        <f aca="false">PROPER(TRIM('Raw Data'!G194))</f>
        <v>Minneapolis</v>
      </c>
      <c r="E194" s="2" t="n">
        <f aca="false">ROUND(VALUE(SUBSTITUTE(TRIM('Raw Data'!M194),"$","")),2)</f>
        <v>1048.62</v>
      </c>
      <c r="F194" s="2" t="n">
        <f aca="false">IF('Raw Data'!O194="",0,'Raw Data'!O194)</f>
        <v>0.1</v>
      </c>
      <c r="G194" s="2" t="n">
        <f aca="false">ROUND('Raw Data'!P194,2)</f>
        <v>57.99</v>
      </c>
      <c r="H194" s="2" t="str">
        <f aca="false">IF('Raw Data'!S194="","Medium",'Raw Data'!S194)</f>
        <v>High</v>
      </c>
      <c r="I194" s="2" t="str">
        <f aca="false">IF(E194&lt;100,"Small",IF(E194&lt;500,"Medium",IF(E194&lt;1500,"Large","Very Large")))</f>
        <v>Large</v>
      </c>
    </row>
    <row r="195" customFormat="false" ht="15" hidden="false" customHeight="false" outlineLevel="0" collapsed="false">
      <c r="A195" s="2" t="str">
        <f aca="false">'Raw Data'!A195</f>
        <v>ORD-11467</v>
      </c>
      <c r="B195" s="2" t="str">
        <f aca="false">IFERROR(DATEVALUE('Raw Data'!B195),"Check Format")</f>
        <v>Check Format</v>
      </c>
      <c r="C195" s="2" t="str">
        <f aca="false">IF('Raw Data'!E195="",IFERROR(INDEX('Raw Data'!$E$2:$E$501,MATCH('Raw Data'!D195,'Raw Data'!$D$2:$D$501,0)),"Unknown Customer"),'Raw Data'!E195)</f>
        <v>Douglas Gregory</v>
      </c>
      <c r="D195" s="2" t="str">
        <f aca="false">PROPER(TRIM('Raw Data'!G195))</f>
        <v>Worcester</v>
      </c>
      <c r="E195" s="2" t="n">
        <f aca="false">ROUND(VALUE(SUBSTITUTE(TRIM('Raw Data'!M195),"$","")),2)</f>
        <v>112.26</v>
      </c>
      <c r="F195" s="2" t="n">
        <f aca="false">IF('Raw Data'!O195="",0,'Raw Data'!O195)</f>
        <v>0</v>
      </c>
      <c r="G195" s="2" t="n">
        <f aca="false">ROUND('Raw Data'!P195,2)</f>
        <v>23.2</v>
      </c>
      <c r="H195" s="2" t="str">
        <f aca="false">IF('Raw Data'!S195="","Medium",'Raw Data'!S195)</f>
        <v>Medium</v>
      </c>
      <c r="I195" s="2" t="str">
        <f aca="false">IF(E195&lt;100,"Small",IF(E195&lt;500,"Medium",IF(E195&lt;1500,"Large","Very Large")))</f>
        <v>Medium</v>
      </c>
    </row>
    <row r="196" customFormat="false" ht="15" hidden="false" customHeight="false" outlineLevel="0" collapsed="false">
      <c r="A196" s="2" t="str">
        <f aca="false">'Raw Data'!A196</f>
        <v>ORD-11485</v>
      </c>
      <c r="B196" s="3" t="n">
        <f aca="false">IFERROR(DATEVALUE('Raw Data'!B196),"Check Format")</f>
        <v>45191</v>
      </c>
      <c r="C196" s="2" t="n">
        <f aca="false">IF('Raw Data'!E196="",IFERROR(INDEX('Raw Data'!$E$2:$E$501,MATCH('Raw Data'!D196,'Raw Data'!$D$2:$D$501,0)),"Unknown Customer"),'Raw Data'!E196)</f>
        <v>0</v>
      </c>
      <c r="D196" s="2" t="str">
        <f aca="false">PROPER(TRIM('Raw Data'!G196))</f>
        <v>Richmond</v>
      </c>
      <c r="E196" s="2" t="n">
        <f aca="false">ROUND(VALUE(SUBSTITUTE(TRIM('Raw Data'!M196),"$","")),2)</f>
        <v>3993.11</v>
      </c>
      <c r="F196" s="2" t="n">
        <f aca="false">IF('Raw Data'!O196="",0,'Raw Data'!O196)</f>
        <v>0.5</v>
      </c>
      <c r="G196" s="2" t="n">
        <f aca="false">ROUND('Raw Data'!P196,2)</f>
        <v>-289.92</v>
      </c>
      <c r="H196" s="2" t="str">
        <f aca="false">IF('Raw Data'!S196="","Medium",'Raw Data'!S196)</f>
        <v>Medium</v>
      </c>
      <c r="I196" s="2" t="str">
        <f aca="false">IF(E196&lt;100,"Small",IF(E196&lt;500,"Medium",IF(E196&lt;1500,"Large","Very Large")))</f>
        <v>Very Large</v>
      </c>
    </row>
    <row r="197" customFormat="false" ht="15" hidden="false" customHeight="false" outlineLevel="0" collapsed="false">
      <c r="A197" s="2" t="str">
        <f aca="false">'Raw Data'!A197</f>
        <v>ORD-12008</v>
      </c>
      <c r="B197" s="2" t="str">
        <f aca="false">IFERROR(DATEVALUE('Raw Data'!B197),"Check Format")</f>
        <v>Check Format</v>
      </c>
      <c r="C197" s="2" t="str">
        <f aca="false">IF('Raw Data'!E197="",IFERROR(INDEX('Raw Data'!$E$2:$E$501,MATCH('Raw Data'!D197,'Raw Data'!$D$2:$D$501,0)),"Unknown Customer"),'Raw Data'!E197)</f>
        <v>Katherine Salas</v>
      </c>
      <c r="D197" s="2" t="str">
        <f aca="false">PROPER(TRIM('Raw Data'!G197))</f>
        <v>Spokane</v>
      </c>
      <c r="E197" s="2" t="n">
        <f aca="false">ROUND(VALUE(SUBSTITUTE(TRIM('Raw Data'!M197),"$","")),2)</f>
        <v>3883.25</v>
      </c>
      <c r="F197" s="2" t="n">
        <f aca="false">IF('Raw Data'!O197="",0,'Raw Data'!O197)</f>
        <v>0</v>
      </c>
      <c r="G197" s="2" t="n">
        <f aca="false">ROUND('Raw Data'!P197,2)</f>
        <v>1058.09</v>
      </c>
      <c r="H197" s="2" t="str">
        <f aca="false">IF('Raw Data'!S197="","Medium",'Raw Data'!S197)</f>
        <v>Low</v>
      </c>
      <c r="I197" s="2" t="str">
        <f aca="false">IF(E197&lt;100,"Small",IF(E197&lt;500,"Medium",IF(E197&lt;1500,"Large","Very Large")))</f>
        <v>Very Large</v>
      </c>
    </row>
    <row r="198" customFormat="false" ht="15" hidden="false" customHeight="false" outlineLevel="0" collapsed="false">
      <c r="A198" s="2" t="str">
        <f aca="false">'Raw Data'!A198</f>
        <v>ORD-16051</v>
      </c>
      <c r="B198" s="2" t="str">
        <f aca="false">IFERROR(DATEVALUE('Raw Data'!B198),"Check Format")</f>
        <v>Check Format</v>
      </c>
      <c r="C198" s="2" t="str">
        <f aca="false">IF('Raw Data'!E198="",IFERROR(INDEX('Raw Data'!$E$2:$E$501,MATCH('Raw Data'!D198,'Raw Data'!$D$2:$D$501,0)),"Unknown Customer"),'Raw Data'!E198)</f>
        <v>Marie Boyd</v>
      </c>
      <c r="D198" s="2" t="str">
        <f aca="false">PROPER(TRIM('Raw Data'!G198))</f>
        <v>Worcester</v>
      </c>
      <c r="E198" s="2" t="n">
        <f aca="false">ROUND(VALUE(SUBSTITUTE(TRIM('Raw Data'!M198),"$","")),2)</f>
        <v>3480.84</v>
      </c>
      <c r="F198" s="2" t="n">
        <f aca="false">IF('Raw Data'!O198="",0,'Raw Data'!O198)</f>
        <v>0.3</v>
      </c>
      <c r="G198" s="2" t="n">
        <f aca="false">ROUND('Raw Data'!P198,2)</f>
        <v>-431.26</v>
      </c>
      <c r="H198" s="2" t="str">
        <f aca="false">IF('Raw Data'!S198="","Medium",'Raw Data'!S198)</f>
        <v>Critical</v>
      </c>
      <c r="I198" s="2" t="str">
        <f aca="false">IF(E198&lt;100,"Small",IF(E198&lt;500,"Medium",IF(E198&lt;1500,"Large","Very Large")))</f>
        <v>Very Large</v>
      </c>
    </row>
    <row r="199" customFormat="false" ht="15" hidden="false" customHeight="false" outlineLevel="0" collapsed="false">
      <c r="A199" s="2" t="str">
        <f aca="false">'Raw Data'!A199</f>
        <v>ORD-15741</v>
      </c>
      <c r="B199" s="3" t="n">
        <f aca="false">IFERROR(DATEVALUE('Raw Data'!B199),"Check Format")</f>
        <v>45769</v>
      </c>
      <c r="C199" s="2" t="str">
        <f aca="false">IF('Raw Data'!E199="",IFERROR(INDEX('Raw Data'!$E$2:$E$501,MATCH('Raw Data'!D199,'Raw Data'!$D$2:$D$501,0)),"Unknown Customer"),'Raw Data'!E199)</f>
        <v>Michael Powell</v>
      </c>
      <c r="D199" s="2" t="str">
        <f aca="false">PROPER(TRIM('Raw Data'!G199))</f>
        <v>Sacramento</v>
      </c>
      <c r="E199" s="2" t="n">
        <f aca="false">ROUND(VALUE(SUBSTITUTE(TRIM('Raw Data'!M199),"$","")),2)</f>
        <v>8624</v>
      </c>
      <c r="F199" s="2" t="n">
        <f aca="false">IF('Raw Data'!O199="",0,'Raw Data'!O199)</f>
        <v>0.15</v>
      </c>
      <c r="G199" s="2" t="n">
        <f aca="false">ROUND('Raw Data'!P199,2)</f>
        <v>2180.07</v>
      </c>
      <c r="H199" s="2" t="str">
        <f aca="false">IF('Raw Data'!S199="","Medium",'Raw Data'!S199)</f>
        <v>High</v>
      </c>
      <c r="I199" s="2" t="str">
        <f aca="false">IF(E199&lt;100,"Small",IF(E199&lt;500,"Medium",IF(E199&lt;1500,"Large","Very Large")))</f>
        <v>Very Large</v>
      </c>
    </row>
    <row r="200" customFormat="false" ht="15" hidden="false" customHeight="false" outlineLevel="0" collapsed="false">
      <c r="A200" s="2" t="str">
        <f aca="false">'Raw Data'!A200</f>
        <v>ORD-7077</v>
      </c>
      <c r="B200" s="3" t="n">
        <f aca="false">IFERROR(DATEVALUE('Raw Data'!B200),"Check Format")</f>
        <v>45334</v>
      </c>
      <c r="C200" s="2" t="str">
        <f aca="false">IF('Raw Data'!E200="",IFERROR(INDEX('Raw Data'!$E$2:$E$501,MATCH('Raw Data'!D200,'Raw Data'!$D$2:$D$501,0)),"Unknown Customer"),'Raw Data'!E200)</f>
        <v>Kristine Garcia</v>
      </c>
      <c r="D200" s="2" t="str">
        <f aca="false">PROPER(TRIM('Raw Data'!G200))</f>
        <v>Baton Rouge</v>
      </c>
      <c r="E200" s="2" t="n">
        <f aca="false">ROUND(VALUE(SUBSTITUTE(TRIM('Raw Data'!M200),"$","")),2)</f>
        <v>344.84</v>
      </c>
      <c r="F200" s="2" t="n">
        <f aca="false">IF('Raw Data'!O200="",0,'Raw Data'!O200)</f>
        <v>0</v>
      </c>
      <c r="G200" s="2" t="n">
        <f aca="false">ROUND('Raw Data'!P200,2)</f>
        <v>132.92</v>
      </c>
      <c r="H200" s="2" t="str">
        <f aca="false">IF('Raw Data'!S200="","Medium",'Raw Data'!S200)</f>
        <v>Low</v>
      </c>
      <c r="I200" s="2" t="str">
        <f aca="false">IF(E200&lt;100,"Small",IF(E200&lt;500,"Medium",IF(E200&lt;1500,"Large","Very Large")))</f>
        <v>Medium</v>
      </c>
    </row>
    <row r="201" customFormat="false" ht="15" hidden="false" customHeight="false" outlineLevel="0" collapsed="false">
      <c r="A201" s="2" t="str">
        <f aca="false">'Raw Data'!A201</f>
        <v>ORD-16817</v>
      </c>
      <c r="B201" s="3" t="n">
        <f aca="false">IFERROR(DATEVALUE('Raw Data'!B201),"Check Format")</f>
        <v>45302</v>
      </c>
      <c r="C201" s="2" t="str">
        <f aca="false">IF('Raw Data'!E201="",IFERROR(INDEX('Raw Data'!$E$2:$E$501,MATCH('Raw Data'!D201,'Raw Data'!$D$2:$D$501,0)),"Unknown Customer"),'Raw Data'!E201)</f>
        <v>James Gilbert</v>
      </c>
      <c r="D201" s="2" t="str">
        <f aca="false">PROPER(TRIM('Raw Data'!G201))</f>
        <v>Boston</v>
      </c>
      <c r="E201" s="2" t="n">
        <f aca="false">ROUND(VALUE(SUBSTITUTE(TRIM('Raw Data'!M201),"$","")),2)</f>
        <v>1215.16</v>
      </c>
      <c r="F201" s="2" t="n">
        <f aca="false">IF('Raw Data'!O201="",0,'Raw Data'!O201)</f>
        <v>0.5</v>
      </c>
      <c r="G201" s="2" t="n">
        <f aca="false">ROUND('Raw Data'!P201,2)</f>
        <v>-193.27</v>
      </c>
      <c r="H201" s="2" t="str">
        <f aca="false">IF('Raw Data'!S201="","Medium",'Raw Data'!S201)</f>
        <v>Low</v>
      </c>
      <c r="I201" s="2" t="str">
        <f aca="false">IF(E201&lt;100,"Small",IF(E201&lt;500,"Medium",IF(E201&lt;1500,"Large","Very Large")))</f>
        <v>Large</v>
      </c>
    </row>
    <row r="202" customFormat="false" ht="15" hidden="false" customHeight="false" outlineLevel="0" collapsed="false">
      <c r="A202" s="2" t="str">
        <f aca="false">'Raw Data'!A202</f>
        <v>ORD-4507</v>
      </c>
      <c r="B202" s="2" t="str">
        <f aca="false">IFERROR(DATEVALUE('Raw Data'!B202),"Check Format")</f>
        <v>Check Format</v>
      </c>
      <c r="C202" s="2" t="str">
        <f aca="false">IF('Raw Data'!E202="",IFERROR(INDEX('Raw Data'!$E$2:$E$501,MATCH('Raw Data'!D202,'Raw Data'!$D$2:$D$501,0)),"Unknown Customer"),'Raw Data'!E202)</f>
        <v>Jesse Perez</v>
      </c>
      <c r="D202" s="2" t="str">
        <f aca="false">PROPER(TRIM('Raw Data'!G202))</f>
        <v>Eugene</v>
      </c>
      <c r="E202" s="2" t="n">
        <f aca="false">ROUND(VALUE(SUBSTITUTE(TRIM('Raw Data'!M202),"$","")),2)</f>
        <v>1439.31</v>
      </c>
      <c r="F202" s="2" t="n">
        <f aca="false">IF('Raw Data'!O202="",0,'Raw Data'!O202)</f>
        <v>0.2</v>
      </c>
      <c r="G202" s="2" t="n">
        <f aca="false">ROUND('Raw Data'!P202,2)</f>
        <v>-53.45</v>
      </c>
      <c r="H202" s="2" t="str">
        <f aca="false">IF('Raw Data'!S202="","Medium",'Raw Data'!S202)</f>
        <v>Medium</v>
      </c>
      <c r="I202" s="2" t="str">
        <f aca="false">IF(E202&lt;100,"Small",IF(E202&lt;500,"Medium",IF(E202&lt;1500,"Large","Very Large")))</f>
        <v>Large</v>
      </c>
    </row>
    <row r="203" customFormat="false" ht="15" hidden="false" customHeight="false" outlineLevel="0" collapsed="false">
      <c r="A203" s="2" t="str">
        <f aca="false">'Raw Data'!A203</f>
        <v>ORD-5085</v>
      </c>
      <c r="B203" s="2" t="str">
        <f aca="false">IFERROR(DATEVALUE('Raw Data'!B203),"Check Format")</f>
        <v>Check Format</v>
      </c>
      <c r="C203" s="2" t="str">
        <f aca="false">IF('Raw Data'!E203="",IFERROR(INDEX('Raw Data'!$E$2:$E$501,MATCH('Raw Data'!D203,'Raw Data'!$D$2:$D$501,0)),"Unknown Customer"),'Raw Data'!E203)</f>
        <v>Theresa Clark</v>
      </c>
      <c r="D203" s="2" t="str">
        <f aca="false">PROPER(TRIM('Raw Data'!G203))</f>
        <v>Columbus</v>
      </c>
      <c r="E203" s="2" t="n">
        <f aca="false">ROUND(VALUE(SUBSTITUTE(TRIM('Raw Data'!M203),"$","")),2)</f>
        <v>157.44</v>
      </c>
      <c r="F203" s="2" t="n">
        <f aca="false">IF('Raw Data'!O203="",0,'Raw Data'!O203)</f>
        <v>0.3</v>
      </c>
      <c r="G203" s="2" t="n">
        <f aca="false">ROUND('Raw Data'!P203,2)</f>
        <v>22.15</v>
      </c>
      <c r="H203" s="2" t="str">
        <f aca="false">IF('Raw Data'!S203="","Medium",'Raw Data'!S203)</f>
        <v>Medium</v>
      </c>
      <c r="I203" s="2" t="str">
        <f aca="false">IF(E203&lt;100,"Small",IF(E203&lt;500,"Medium",IF(E203&lt;1500,"Large","Very Large")))</f>
        <v>Medium</v>
      </c>
    </row>
    <row r="204" customFormat="false" ht="15" hidden="false" customHeight="false" outlineLevel="0" collapsed="false">
      <c r="A204" s="2" t="str">
        <f aca="false">'Raw Data'!A204</f>
        <v>ORD-7664</v>
      </c>
      <c r="B204" s="3" t="n">
        <f aca="false">IFERROR(DATEVALUE('Raw Data'!B204),"Check Format")</f>
        <v>46032</v>
      </c>
      <c r="C204" s="2" t="str">
        <f aca="false">IF('Raw Data'!E204="",IFERROR(INDEX('Raw Data'!$E$2:$E$501,MATCH('Raw Data'!D204,'Raw Data'!$D$2:$D$501,0)),"Unknown Customer"),'Raw Data'!E204)</f>
        <v>Kara Hernandez</v>
      </c>
      <c r="D204" s="2" t="str">
        <f aca="false">PROPER(TRIM('Raw Data'!G204))</f>
        <v>Nashville</v>
      </c>
      <c r="E204" s="2" t="n">
        <f aca="false">ROUND(VALUE(SUBSTITUTE(TRIM('Raw Data'!M204),"$","")),2)</f>
        <v>284</v>
      </c>
      <c r="F204" s="2" t="n">
        <f aca="false">IF('Raw Data'!O204="",0,'Raw Data'!O204)</f>
        <v>0.1</v>
      </c>
      <c r="G204" s="2" t="n">
        <f aca="false">ROUND('Raw Data'!P204,2)</f>
        <v>14.63</v>
      </c>
      <c r="H204" s="2" t="str">
        <f aca="false">IF('Raw Data'!S204="","Medium",'Raw Data'!S204)</f>
        <v>Low</v>
      </c>
      <c r="I204" s="2" t="str">
        <f aca="false">IF(E204&lt;100,"Small",IF(E204&lt;500,"Medium",IF(E204&lt;1500,"Large","Very Large")))</f>
        <v>Medium</v>
      </c>
    </row>
    <row r="205" customFormat="false" ht="15" hidden="false" customHeight="false" outlineLevel="0" collapsed="false">
      <c r="A205" s="2" t="str">
        <f aca="false">'Raw Data'!A205</f>
        <v>ORD-14673</v>
      </c>
      <c r="B205" s="2" t="str">
        <f aca="false">IFERROR(DATEVALUE('Raw Data'!B205),"Check Format")</f>
        <v>Check Format</v>
      </c>
      <c r="C205" s="2" t="str">
        <f aca="false">IF('Raw Data'!E205="",IFERROR(INDEX('Raw Data'!$E$2:$E$501,MATCH('Raw Data'!D205,'Raw Data'!$D$2:$D$501,0)),"Unknown Customer"),'Raw Data'!E205)</f>
        <v>Joyce Bowen</v>
      </c>
      <c r="D205" s="2" t="str">
        <f aca="false">PROPER(TRIM('Raw Data'!G205))</f>
        <v>Tucson</v>
      </c>
      <c r="E205" s="2" t="n">
        <f aca="false">ROUND(VALUE(SUBSTITUTE(TRIM('Raw Data'!M205),"$","")),2)</f>
        <v>626.8</v>
      </c>
      <c r="F205" s="2" t="n">
        <f aca="false">IF('Raw Data'!O205="",0,'Raw Data'!O205)</f>
        <v>0.3</v>
      </c>
      <c r="G205" s="2" t="n">
        <f aca="false">ROUND('Raw Data'!P205,2)</f>
        <v>-78.88</v>
      </c>
      <c r="H205" s="2" t="str">
        <f aca="false">IF('Raw Data'!S205="","Medium",'Raw Data'!S205)</f>
        <v>Critical</v>
      </c>
      <c r="I205" s="2" t="str">
        <f aca="false">IF(E205&lt;100,"Small",IF(E205&lt;500,"Medium",IF(E205&lt;1500,"Large","Very Large")))</f>
        <v>Large</v>
      </c>
    </row>
    <row r="206" customFormat="false" ht="15" hidden="false" customHeight="false" outlineLevel="0" collapsed="false">
      <c r="A206" s="2" t="str">
        <f aca="false">'Raw Data'!A206</f>
        <v>ORD-13741</v>
      </c>
      <c r="B206" s="3" t="n">
        <f aca="false">IFERROR(DATEVALUE('Raw Data'!B206),"Check Format")</f>
        <v>45142</v>
      </c>
      <c r="C206" s="2" t="str">
        <f aca="false">IF('Raw Data'!E206="",IFERROR(INDEX('Raw Data'!$E$2:$E$501,MATCH('Raw Data'!D206,'Raw Data'!$D$2:$D$501,0)),"Unknown Customer"),'Raw Data'!E206)</f>
        <v>Sarah Moore</v>
      </c>
      <c r="D206" s="2" t="str">
        <f aca="false">PROPER(TRIM('Raw Data'!G206))</f>
        <v>Atlanta</v>
      </c>
      <c r="E206" s="2" t="n">
        <f aca="false">ROUND(VALUE(SUBSTITUTE(TRIM('Raw Data'!M206),"$","")),2)</f>
        <v>314.79</v>
      </c>
      <c r="F206" s="2" t="n">
        <f aca="false">IF('Raw Data'!O206="",0,'Raw Data'!O206)</f>
        <v>0.3</v>
      </c>
      <c r="G206" s="2" t="n">
        <f aca="false">ROUND('Raw Data'!P206,2)</f>
        <v>5.61</v>
      </c>
      <c r="H206" s="2" t="str">
        <f aca="false">IF('Raw Data'!S206="","Medium",'Raw Data'!S206)</f>
        <v>Low</v>
      </c>
      <c r="I206" s="2" t="str">
        <f aca="false">IF(E206&lt;100,"Small",IF(E206&lt;500,"Medium",IF(E206&lt;1500,"Large","Very Large")))</f>
        <v>Medium</v>
      </c>
    </row>
    <row r="207" customFormat="false" ht="15" hidden="false" customHeight="false" outlineLevel="0" collapsed="false">
      <c r="A207" s="2" t="str">
        <f aca="false">'Raw Data'!A207</f>
        <v>ORD-6520</v>
      </c>
      <c r="B207" s="3" t="n">
        <f aca="false">IFERROR(DATEVALUE('Raw Data'!B207),"Check Format")</f>
        <v>46200</v>
      </c>
      <c r="C207" s="2" t="str">
        <f aca="false">IF('Raw Data'!E207="",IFERROR(INDEX('Raw Data'!$E$2:$E$501,MATCH('Raw Data'!D207,'Raw Data'!$D$2:$D$501,0)),"Unknown Customer"),'Raw Data'!E207)</f>
        <v>Richard Cooper</v>
      </c>
      <c r="D207" s="2" t="str">
        <f aca="false">PROPER(TRIM('Raw Data'!G207))</f>
        <v>Charlotte</v>
      </c>
      <c r="E207" s="2" t="n">
        <f aca="false">ROUND(VALUE(SUBSTITUTE(TRIM('Raw Data'!M207),"$","")),2)</f>
        <v>169.28</v>
      </c>
      <c r="F207" s="2" t="n">
        <f aca="false">IF('Raw Data'!O207="",0,'Raw Data'!O207)</f>
        <v>0.3</v>
      </c>
      <c r="G207" s="2" t="n">
        <f aca="false">ROUND('Raw Data'!P207,2)</f>
        <v>4.19</v>
      </c>
      <c r="H207" s="2" t="str">
        <f aca="false">IF('Raw Data'!S207="","Medium",'Raw Data'!S207)</f>
        <v>Low</v>
      </c>
      <c r="I207" s="2" t="str">
        <f aca="false">IF(E207&lt;100,"Small",IF(E207&lt;500,"Medium",IF(E207&lt;1500,"Large","Very Large")))</f>
        <v>Medium</v>
      </c>
    </row>
    <row r="208" customFormat="false" ht="15" hidden="false" customHeight="false" outlineLevel="0" collapsed="false">
      <c r="A208" s="2" t="str">
        <f aca="false">'Raw Data'!A208</f>
        <v>ORD-14820</v>
      </c>
      <c r="B208" s="2" t="str">
        <f aca="false">IFERROR(DATEVALUE('Raw Data'!B208),"Check Format")</f>
        <v>Check Format</v>
      </c>
      <c r="C208" s="2" t="str">
        <f aca="false">IF('Raw Data'!E208="",IFERROR(INDEX('Raw Data'!$E$2:$E$501,MATCH('Raw Data'!D208,'Raw Data'!$D$2:$D$501,0)),"Unknown Customer"),'Raw Data'!E208)</f>
        <v>Ashley Wise</v>
      </c>
      <c r="D208" s="2" t="str">
        <f aca="false">PROPER(TRIM('Raw Data'!G208))</f>
        <v>Boston</v>
      </c>
      <c r="E208" s="2" t="n">
        <f aca="false">ROUND(VALUE(SUBSTITUTE(TRIM('Raw Data'!M208),"$","")),2)</f>
        <v>160.5</v>
      </c>
      <c r="F208" s="2" t="n">
        <f aca="false">IF('Raw Data'!O208="",0,'Raw Data'!O208)</f>
        <v>0</v>
      </c>
      <c r="G208" s="2" t="n">
        <f aca="false">ROUND('Raw Data'!P208,2)</f>
        <v>26.33</v>
      </c>
      <c r="H208" s="2" t="str">
        <f aca="false">IF('Raw Data'!S208="","Medium",'Raw Data'!S208)</f>
        <v>High</v>
      </c>
      <c r="I208" s="2" t="str">
        <f aca="false">IF(E208&lt;100,"Small",IF(E208&lt;500,"Medium",IF(E208&lt;1500,"Large","Very Large")))</f>
        <v>Medium</v>
      </c>
    </row>
    <row r="209" customFormat="false" ht="15" hidden="false" customHeight="false" outlineLevel="0" collapsed="false">
      <c r="A209" s="2" t="str">
        <f aca="false">'Raw Data'!A209</f>
        <v>ORD-11421</v>
      </c>
      <c r="B209" s="2" t="str">
        <f aca="false">IFERROR(DATEVALUE('Raw Data'!B209),"Check Format")</f>
        <v>Check Format</v>
      </c>
      <c r="C209" s="2" t="str">
        <f aca="false">IF('Raw Data'!E209="",IFERROR(INDEX('Raw Data'!$E$2:$E$501,MATCH('Raw Data'!D209,'Raw Data'!$D$2:$D$501,0)),"Unknown Customer"),'Raw Data'!E209)</f>
        <v>Christie Mccullough</v>
      </c>
      <c r="D209" s="2" t="str">
        <f aca="false">PROPER(TRIM('Raw Data'!G209))</f>
        <v>Boulder</v>
      </c>
      <c r="E209" s="2" t="n">
        <f aca="false">ROUND(VALUE(SUBSTITUTE(TRIM('Raw Data'!M209),"$","")),2)</f>
        <v>114.22</v>
      </c>
      <c r="F209" s="2" t="n">
        <f aca="false">IF('Raw Data'!O209="",0,'Raw Data'!O209)</f>
        <v>0.4</v>
      </c>
      <c r="G209" s="2" t="n">
        <f aca="false">ROUND('Raw Data'!P209,2)</f>
        <v>-3.5</v>
      </c>
      <c r="H209" s="2" t="str">
        <f aca="false">IF('Raw Data'!S209="","Medium",'Raw Data'!S209)</f>
        <v>High</v>
      </c>
      <c r="I209" s="2" t="str">
        <f aca="false">IF(E209&lt;100,"Small",IF(E209&lt;500,"Medium",IF(E209&lt;1500,"Large","Very Large")))</f>
        <v>Medium</v>
      </c>
    </row>
    <row r="210" customFormat="false" ht="15" hidden="false" customHeight="false" outlineLevel="0" collapsed="false">
      <c r="A210" s="2" t="str">
        <f aca="false">'Raw Data'!A210</f>
        <v>ORD-7089</v>
      </c>
      <c r="B210" s="3" t="n">
        <f aca="false">IFERROR(DATEVALUE('Raw Data'!B210),"Check Format")</f>
        <v>45259</v>
      </c>
      <c r="C210" s="2" t="str">
        <f aca="false">IF('Raw Data'!E210="",IFERROR(INDEX('Raw Data'!$E$2:$E$501,MATCH('Raw Data'!D210,'Raw Data'!$D$2:$D$501,0)),"Unknown Customer"),'Raw Data'!E210)</f>
        <v>Bonnie Valencia</v>
      </c>
      <c r="D210" s="2" t="str">
        <f aca="false">PROPER(TRIM('Raw Data'!G210))</f>
        <v>Cleveland</v>
      </c>
      <c r="E210" s="2" t="n">
        <f aca="false">ROUND(VALUE(SUBSTITUTE(TRIM('Raw Data'!M210),"$","")),2)</f>
        <v>397.87</v>
      </c>
      <c r="F210" s="2" t="n">
        <f aca="false">IF('Raw Data'!O210="",0,'Raw Data'!O210)</f>
        <v>0.15</v>
      </c>
      <c r="G210" s="2" t="n">
        <f aca="false">ROUND('Raw Data'!P210,2)</f>
        <v>33.02</v>
      </c>
      <c r="H210" s="2" t="str">
        <f aca="false">IF('Raw Data'!S210="","Medium",'Raw Data'!S210)</f>
        <v>Medium</v>
      </c>
      <c r="I210" s="2" t="str">
        <f aca="false">IF(E210&lt;100,"Small",IF(E210&lt;500,"Medium",IF(E210&lt;1500,"Large","Very Large")))</f>
        <v>Medium</v>
      </c>
    </row>
    <row r="211" customFormat="false" ht="15" hidden="false" customHeight="false" outlineLevel="0" collapsed="false">
      <c r="A211" s="2" t="str">
        <f aca="false">'Raw Data'!A211</f>
        <v>ORD-16073</v>
      </c>
      <c r="B211" s="3" t="n">
        <f aca="false">IFERROR(DATEVALUE('Raw Data'!B211),"Check Format")</f>
        <v>45536</v>
      </c>
      <c r="C211" s="2" t="str">
        <f aca="false">IF('Raw Data'!E211="",IFERROR(INDEX('Raw Data'!$E$2:$E$501,MATCH('Raw Data'!D211,'Raw Data'!$D$2:$D$501,0)),"Unknown Customer"),'Raw Data'!E211)</f>
        <v>Ronald Davis</v>
      </c>
      <c r="D211" s="2" t="str">
        <f aca="false">PROPER(TRIM('Raw Data'!G211))</f>
        <v>Ann Arbor</v>
      </c>
      <c r="E211" s="2" t="n">
        <f aca="false">ROUND(VALUE(SUBSTITUTE(TRIM('Raw Data'!M211),"$","")),2)</f>
        <v>114.16</v>
      </c>
      <c r="F211" s="2" t="n">
        <f aca="false">IF('Raw Data'!O211="",0,'Raw Data'!O211)</f>
        <v>0</v>
      </c>
      <c r="G211" s="2" t="n">
        <f aca="false">ROUND('Raw Data'!P211,2)</f>
        <v>31.62</v>
      </c>
      <c r="H211" s="2" t="str">
        <f aca="false">IF('Raw Data'!S211="","Medium",'Raw Data'!S211)</f>
        <v>Critical</v>
      </c>
      <c r="I211" s="2" t="str">
        <f aca="false">IF(E211&lt;100,"Small",IF(E211&lt;500,"Medium",IF(E211&lt;1500,"Large","Very Large")))</f>
        <v>Medium</v>
      </c>
    </row>
    <row r="212" customFormat="false" ht="15" hidden="false" customHeight="false" outlineLevel="0" collapsed="false">
      <c r="A212" s="2" t="str">
        <f aca="false">'Raw Data'!A212</f>
        <v>ORD-12007</v>
      </c>
      <c r="B212" s="3" t="n">
        <f aca="false">IFERROR(DATEVALUE('Raw Data'!B212),"Check Format")</f>
        <v>46059</v>
      </c>
      <c r="C212" s="2" t="str">
        <f aca="false">IF('Raw Data'!E212="",IFERROR(INDEX('Raw Data'!$E$2:$E$501,MATCH('Raw Data'!D212,'Raw Data'!$D$2:$D$501,0)),"Unknown Customer"),'Raw Data'!E212)</f>
        <v>Jason Rhodes</v>
      </c>
      <c r="D212" s="2" t="str">
        <f aca="false">PROPER(TRIM('Raw Data'!G212))</f>
        <v>Austin</v>
      </c>
      <c r="E212" s="2" t="n">
        <f aca="false">ROUND(VALUE(SUBSTITUTE(TRIM('Raw Data'!M212),"$","")),2)</f>
        <v>2166.25</v>
      </c>
      <c r="F212" s="2" t="n">
        <f aca="false">IF('Raw Data'!O212="",0,'Raw Data'!O212)</f>
        <v>0.15</v>
      </c>
      <c r="G212" s="2" t="n">
        <f aca="false">ROUND('Raw Data'!P212,2)</f>
        <v>314.53</v>
      </c>
      <c r="H212" s="2" t="str">
        <f aca="false">IF('Raw Data'!S212="","Medium",'Raw Data'!S212)</f>
        <v>Critical</v>
      </c>
      <c r="I212" s="2" t="str">
        <f aca="false">IF(E212&lt;100,"Small",IF(E212&lt;500,"Medium",IF(E212&lt;1500,"Large","Very Large")))</f>
        <v>Very Large</v>
      </c>
    </row>
    <row r="213" customFormat="false" ht="15" hidden="false" customHeight="false" outlineLevel="0" collapsed="false">
      <c r="A213" s="2" t="str">
        <f aca="false">'Raw Data'!A213</f>
        <v>ORD-9453</v>
      </c>
      <c r="B213" s="3" t="n">
        <f aca="false">IFERROR(DATEVALUE('Raw Data'!B213),"Check Format")</f>
        <v>46081</v>
      </c>
      <c r="C213" s="2" t="str">
        <f aca="false">IF('Raw Data'!E213="",IFERROR(INDEX('Raw Data'!$E$2:$E$501,MATCH('Raw Data'!D213,'Raw Data'!$D$2:$D$501,0)),"Unknown Customer"),'Raw Data'!E213)</f>
        <v>Samantha Zavala MD</v>
      </c>
      <c r="D213" s="2" t="str">
        <f aca="false">PROPER(TRIM('Raw Data'!G213))</f>
        <v>Chicago</v>
      </c>
      <c r="E213" s="2" t="n">
        <f aca="false">ROUND(VALUE(SUBSTITUTE(TRIM('Raw Data'!M213),"$","")),2)</f>
        <v>3129.85</v>
      </c>
      <c r="F213" s="2" t="n">
        <f aca="false">IF('Raw Data'!O213="",0,'Raw Data'!O213)</f>
        <v>0.1</v>
      </c>
      <c r="G213" s="2" t="n">
        <f aca="false">ROUND('Raw Data'!P213,2)</f>
        <v>887.87</v>
      </c>
      <c r="H213" s="2" t="str">
        <f aca="false">IF('Raw Data'!S213="","Medium",'Raw Data'!S213)</f>
        <v>Critical</v>
      </c>
      <c r="I213" s="2" t="str">
        <f aca="false">IF(E213&lt;100,"Small",IF(E213&lt;500,"Medium",IF(E213&lt;1500,"Large","Very Large")))</f>
        <v>Very Large</v>
      </c>
    </row>
    <row r="214" customFormat="false" ht="15" hidden="false" customHeight="false" outlineLevel="0" collapsed="false">
      <c r="A214" s="2" t="str">
        <f aca="false">'Raw Data'!A214</f>
        <v>ORD-13632</v>
      </c>
      <c r="B214" s="2" t="str">
        <f aca="false">IFERROR(DATEVALUE('Raw Data'!B214),"Check Format")</f>
        <v>Check Format</v>
      </c>
      <c r="C214" s="2" t="str">
        <f aca="false">IF('Raw Data'!E214="",IFERROR(INDEX('Raw Data'!$E$2:$E$501,MATCH('Raw Data'!D214,'Raw Data'!$D$2:$D$501,0)),"Unknown Customer"),'Raw Data'!E214)</f>
        <v>Vanessa Howard</v>
      </c>
      <c r="D214" s="2" t="str">
        <f aca="false">PROPER(TRIM('Raw Data'!G214))</f>
        <v>Tucson</v>
      </c>
      <c r="E214" s="2" t="n">
        <f aca="false">ROUND(VALUE(SUBSTITUTE(TRIM('Raw Data'!M214),"$","")),2)</f>
        <v>339.54</v>
      </c>
      <c r="F214" s="2" t="n">
        <f aca="false">IF('Raw Data'!O214="",0,'Raw Data'!O214)</f>
        <v>0</v>
      </c>
      <c r="G214" s="2" t="n">
        <f aca="false">ROUND('Raw Data'!P214,2)</f>
        <v>71.19</v>
      </c>
      <c r="H214" s="2" t="str">
        <f aca="false">IF('Raw Data'!S214="","Medium",'Raw Data'!S214)</f>
        <v>High</v>
      </c>
      <c r="I214" s="2" t="str">
        <f aca="false">IF(E214&lt;100,"Small",IF(E214&lt;500,"Medium",IF(E214&lt;1500,"Large","Very Large")))</f>
        <v>Medium</v>
      </c>
    </row>
    <row r="215" customFormat="false" ht="15" hidden="false" customHeight="false" outlineLevel="0" collapsed="false">
      <c r="A215" s="2" t="str">
        <f aca="false">'Raw Data'!A215</f>
        <v>ORD-8942</v>
      </c>
      <c r="B215" s="3" t="n">
        <f aca="false">IFERROR(DATEVALUE('Raw Data'!B215),"Check Format")</f>
        <v>45530</v>
      </c>
      <c r="C215" s="2" t="str">
        <f aca="false">IF('Raw Data'!E215="",IFERROR(INDEX('Raw Data'!$E$2:$E$501,MATCH('Raw Data'!D215,'Raw Data'!$D$2:$D$501,0)),"Unknown Customer"),'Raw Data'!E215)</f>
        <v>Tanya Russell</v>
      </c>
      <c r="D215" s="2" t="str">
        <f aca="false">PROPER(TRIM('Raw Data'!G215))</f>
        <v>Savannah</v>
      </c>
      <c r="E215" s="2" t="n">
        <f aca="false">ROUND(VALUE(SUBSTITUTE(TRIM('Raw Data'!M215),"$","")),2)</f>
        <v>6637.9</v>
      </c>
      <c r="F215" s="2" t="n">
        <f aca="false">IF('Raw Data'!O215="",0,'Raw Data'!O215)</f>
        <v>0.15</v>
      </c>
      <c r="G215" s="2" t="n">
        <f aca="false">ROUND('Raw Data'!P215,2)</f>
        <v>464.64</v>
      </c>
      <c r="H215" s="2" t="str">
        <f aca="false">IF('Raw Data'!S215="","Medium",'Raw Data'!S215)</f>
        <v>Low</v>
      </c>
      <c r="I215" s="2" t="str">
        <f aca="false">IF(E215&lt;100,"Small",IF(E215&lt;500,"Medium",IF(E215&lt;1500,"Large","Very Large")))</f>
        <v>Very Large</v>
      </c>
    </row>
    <row r="216" customFormat="false" ht="15" hidden="false" customHeight="false" outlineLevel="0" collapsed="false">
      <c r="A216" s="2" t="str">
        <f aca="false">'Raw Data'!A216</f>
        <v>ORD-17922</v>
      </c>
      <c r="B216" s="2" t="str">
        <f aca="false">IFERROR(DATEVALUE('Raw Data'!B216),"Check Format")</f>
        <v>Check Format</v>
      </c>
      <c r="C216" s="2" t="str">
        <f aca="false">IF('Raw Data'!E216="",IFERROR(INDEX('Raw Data'!$E$2:$E$501,MATCH('Raw Data'!D216,'Raw Data'!$D$2:$D$501,0)),"Unknown Customer"),'Raw Data'!E216)</f>
        <v>Daniel Wagner</v>
      </c>
      <c r="D216" s="2" t="str">
        <f aca="false">PROPER(TRIM('Raw Data'!G216))</f>
        <v>Orlando</v>
      </c>
      <c r="E216" s="2" t="n">
        <f aca="false">ROUND(VALUE(SUBSTITUTE(TRIM('Raw Data'!M216),"$","")),2)</f>
        <v>600.76</v>
      </c>
      <c r="F216" s="2" t="n">
        <f aca="false">IF('Raw Data'!O216="",0,'Raw Data'!O216)</f>
        <v>0</v>
      </c>
      <c r="G216" s="2" t="n">
        <f aca="false">ROUND('Raw Data'!P216,2)</f>
        <v>155.25</v>
      </c>
      <c r="H216" s="2" t="str">
        <f aca="false">IF('Raw Data'!S216="","Medium",'Raw Data'!S216)</f>
        <v>Low</v>
      </c>
      <c r="I216" s="2" t="str">
        <f aca="false">IF(E216&lt;100,"Small",IF(E216&lt;500,"Medium",IF(E216&lt;1500,"Large","Very Large")))</f>
        <v>Large</v>
      </c>
    </row>
    <row r="217" customFormat="false" ht="15" hidden="false" customHeight="false" outlineLevel="0" collapsed="false">
      <c r="A217" s="2" t="str">
        <f aca="false">'Raw Data'!A217</f>
        <v>ORD-12680</v>
      </c>
      <c r="B217" s="2" t="str">
        <f aca="false">IFERROR(DATEVALUE('Raw Data'!B217),"Check Format")</f>
        <v>Check Format</v>
      </c>
      <c r="C217" s="2" t="str">
        <f aca="false">IF('Raw Data'!E217="",IFERROR(INDEX('Raw Data'!$E$2:$E$501,MATCH('Raw Data'!D217,'Raw Data'!$D$2:$D$501,0)),"Unknown Customer"),'Raw Data'!E217)</f>
        <v>Katherine Welch</v>
      </c>
      <c r="D217" s="2" t="str">
        <f aca="false">PROPER(TRIM('Raw Data'!G217))</f>
        <v>Nashville</v>
      </c>
      <c r="E217" s="2" t="n">
        <f aca="false">ROUND(VALUE(SUBSTITUTE(TRIM('Raw Data'!M217),"$","")),2)</f>
        <v>5293.98</v>
      </c>
      <c r="F217" s="2" t="n">
        <f aca="false">IF('Raw Data'!O217="",0,'Raw Data'!O217)</f>
        <v>0.2</v>
      </c>
      <c r="G217" s="2" t="n">
        <f aca="false">ROUND('Raw Data'!P217,2)</f>
        <v>492.63</v>
      </c>
      <c r="H217" s="2" t="str">
        <f aca="false">IF('Raw Data'!S217="","Medium",'Raw Data'!S217)</f>
        <v>Medium</v>
      </c>
      <c r="I217" s="2" t="str">
        <f aca="false">IF(E217&lt;100,"Small",IF(E217&lt;500,"Medium",IF(E217&lt;1500,"Large","Very Large")))</f>
        <v>Very Large</v>
      </c>
    </row>
    <row r="218" customFormat="false" ht="15" hidden="false" customHeight="false" outlineLevel="0" collapsed="false">
      <c r="A218" s="2" t="str">
        <f aca="false">'Raw Data'!A218</f>
        <v>ORD-5001</v>
      </c>
      <c r="B218" s="2" t="str">
        <f aca="false">IFERROR(DATEVALUE('Raw Data'!B218),"Check Format")</f>
        <v>Check Format</v>
      </c>
      <c r="C218" s="2" t="str">
        <f aca="false">IF('Raw Data'!E218="",IFERROR(INDEX('Raw Data'!$E$2:$E$501,MATCH('Raw Data'!D218,'Raw Data'!$D$2:$D$501,0)),"Unknown Customer"),'Raw Data'!E218)</f>
        <v>Cheyenne Horton</v>
      </c>
      <c r="D218" s="2" t="str">
        <f aca="false">PROPER(TRIM('Raw Data'!G218))</f>
        <v>St Louis</v>
      </c>
      <c r="E218" s="2" t="n">
        <f aca="false">ROUND(VALUE(SUBSTITUTE(TRIM('Raw Data'!M218),"$","")),2)</f>
        <v>5612.7</v>
      </c>
      <c r="F218" s="2" t="n">
        <f aca="false">IF('Raw Data'!O218="",0,'Raw Data'!O218)</f>
        <v>0</v>
      </c>
      <c r="G218" s="2" t="n">
        <f aca="false">ROUND('Raw Data'!P218,2)</f>
        <v>95.29</v>
      </c>
      <c r="H218" s="2" t="str">
        <f aca="false">IF('Raw Data'!S218="","Medium",'Raw Data'!S218)</f>
        <v>Critical</v>
      </c>
      <c r="I218" s="2" t="str">
        <f aca="false">IF(E218&lt;100,"Small",IF(E218&lt;500,"Medium",IF(E218&lt;1500,"Large","Very Large")))</f>
        <v>Very Large</v>
      </c>
    </row>
    <row r="219" customFormat="false" ht="15" hidden="false" customHeight="false" outlineLevel="0" collapsed="false">
      <c r="A219" s="2" t="str">
        <f aca="false">'Raw Data'!A219</f>
        <v>ORD-10925</v>
      </c>
      <c r="B219" s="3" t="n">
        <f aca="false">IFERROR(DATEVALUE('Raw Data'!B219),"Check Format")</f>
        <v>45319</v>
      </c>
      <c r="C219" s="2" t="str">
        <f aca="false">IF('Raw Data'!E219="",IFERROR(INDEX('Raw Data'!$E$2:$E$501,MATCH('Raw Data'!D219,'Raw Data'!$D$2:$D$501,0)),"Unknown Customer"),'Raw Data'!E219)</f>
        <v>Rhonda Chavez</v>
      </c>
      <c r="D219" s="2" t="str">
        <f aca="false">PROPER(TRIM('Raw Data'!G219))</f>
        <v>New Orleans</v>
      </c>
      <c r="E219" s="2" t="n">
        <f aca="false">ROUND(VALUE(SUBSTITUTE(TRIM('Raw Data'!M219),"$","")),2)</f>
        <v>150.96</v>
      </c>
      <c r="F219" s="2" t="n">
        <f aca="false">IF('Raw Data'!O219="",0,'Raw Data'!O219)</f>
        <v>0.3</v>
      </c>
      <c r="G219" s="2" t="n">
        <f aca="false">ROUND('Raw Data'!P219,2)</f>
        <v>9.56</v>
      </c>
      <c r="H219" s="2" t="str">
        <f aca="false">IF('Raw Data'!S219="","Medium",'Raw Data'!S219)</f>
        <v>Low</v>
      </c>
      <c r="I219" s="2" t="str">
        <f aca="false">IF(E219&lt;100,"Small",IF(E219&lt;500,"Medium",IF(E219&lt;1500,"Large","Very Large")))</f>
        <v>Medium</v>
      </c>
    </row>
    <row r="220" customFormat="false" ht="15" hidden="false" customHeight="false" outlineLevel="0" collapsed="false">
      <c r="A220" s="2" t="str">
        <f aca="false">'Raw Data'!A220</f>
        <v>ORD-12058</v>
      </c>
      <c r="B220" s="3" t="n">
        <f aca="false">IFERROR(DATEVALUE('Raw Data'!B220),"Check Format")</f>
        <v>45145</v>
      </c>
      <c r="C220" s="2" t="str">
        <f aca="false">IF('Raw Data'!E220="",IFERROR(INDEX('Raw Data'!$E$2:$E$501,MATCH('Raw Data'!D220,'Raw Data'!$D$2:$D$501,0)),"Unknown Customer"),'Raw Data'!E220)</f>
        <v>Michelle Ho</v>
      </c>
      <c r="D220" s="2" t="str">
        <f aca="false">PROPER(TRIM('Raw Data'!G220))</f>
        <v>Louisville</v>
      </c>
      <c r="E220" s="2" t="n">
        <f aca="false">ROUND(VALUE(SUBSTITUTE(TRIM('Raw Data'!M220),"$","")),2)</f>
        <v>2249.2</v>
      </c>
      <c r="F220" s="2" t="n">
        <f aca="false">IF('Raw Data'!O220="",0,'Raw Data'!O220)</f>
        <v>0.15</v>
      </c>
      <c r="G220" s="2" t="n">
        <f aca="false">ROUND('Raw Data'!P220,2)</f>
        <v>606.42</v>
      </c>
      <c r="H220" s="2" t="str">
        <f aca="false">IF('Raw Data'!S220="","Medium",'Raw Data'!S220)</f>
        <v>High</v>
      </c>
      <c r="I220" s="2" t="str">
        <f aca="false">IF(E220&lt;100,"Small",IF(E220&lt;500,"Medium",IF(E220&lt;1500,"Large","Very Large")))</f>
        <v>Very Large</v>
      </c>
    </row>
    <row r="221" customFormat="false" ht="15" hidden="false" customHeight="false" outlineLevel="0" collapsed="false">
      <c r="A221" s="2" t="str">
        <f aca="false">'Raw Data'!A221</f>
        <v>ORD-16530</v>
      </c>
      <c r="B221" s="3" t="n">
        <f aca="false">IFERROR(DATEVALUE('Raw Data'!B221),"Check Format")</f>
        <v>45655</v>
      </c>
      <c r="C221" s="2" t="str">
        <f aca="false">IF('Raw Data'!E221="",IFERROR(INDEX('Raw Data'!$E$2:$E$501,MATCH('Raw Data'!D221,'Raw Data'!$D$2:$D$501,0)),"Unknown Customer"),'Raw Data'!E221)</f>
        <v>Michelle Walls</v>
      </c>
      <c r="D221" s="2" t="str">
        <f aca="false">PROPER(TRIM('Raw Data'!G221))</f>
        <v>New York City</v>
      </c>
      <c r="E221" s="2" t="n">
        <f aca="false">ROUND(VALUE(SUBSTITUTE(TRIM('Raw Data'!M221),"$","")),2)</f>
        <v>496.16</v>
      </c>
      <c r="F221" s="2" t="n">
        <f aca="false">IF('Raw Data'!O221="",0,'Raw Data'!O221)</f>
        <v>0.4</v>
      </c>
      <c r="G221" s="2" t="n">
        <f aca="false">ROUND('Raw Data'!P221,2)</f>
        <v>-5.65</v>
      </c>
      <c r="H221" s="2" t="str">
        <f aca="false">IF('Raw Data'!S221="","Medium",'Raw Data'!S221)</f>
        <v>Low</v>
      </c>
      <c r="I221" s="2" t="str">
        <f aca="false">IF(E221&lt;100,"Small",IF(E221&lt;500,"Medium",IF(E221&lt;1500,"Large","Very Large")))</f>
        <v>Medium</v>
      </c>
    </row>
    <row r="222" customFormat="false" ht="15" hidden="false" customHeight="false" outlineLevel="0" collapsed="false">
      <c r="A222" s="2" t="str">
        <f aca="false">'Raw Data'!A222</f>
        <v>ORD-6251</v>
      </c>
      <c r="B222" s="3" t="n">
        <f aca="false">IFERROR(DATEVALUE('Raw Data'!B222),"Check Format")</f>
        <v>45763</v>
      </c>
      <c r="C222" s="2" t="str">
        <f aca="false">IF('Raw Data'!E222="",IFERROR(INDEX('Raw Data'!$E$2:$E$501,MATCH('Raw Data'!D222,'Raw Data'!$D$2:$D$501,0)),"Unknown Customer"),'Raw Data'!E222)</f>
        <v>David Harris</v>
      </c>
      <c r="D222" s="2" t="str">
        <f aca="false">PROPER(TRIM('Raw Data'!G222))</f>
        <v>Houston</v>
      </c>
      <c r="E222" s="2" t="n">
        <f aca="false">ROUND(VALUE(SUBSTITUTE(TRIM('Raw Data'!M222),"$","")),2)</f>
        <v>61.15</v>
      </c>
      <c r="F222" s="2" t="n">
        <f aca="false">IF('Raw Data'!O222="",0,'Raw Data'!O222)</f>
        <v>0.15</v>
      </c>
      <c r="G222" s="2" t="n">
        <f aca="false">ROUND('Raw Data'!P222,2)</f>
        <v>0.85</v>
      </c>
      <c r="H222" s="2" t="str">
        <f aca="false">IF('Raw Data'!S222="","Medium",'Raw Data'!S222)</f>
        <v>Medium</v>
      </c>
      <c r="I222" s="2" t="str">
        <f aca="false">IF(E222&lt;100,"Small",IF(E222&lt;500,"Medium",IF(E222&lt;1500,"Large","Very Large")))</f>
        <v>Small</v>
      </c>
    </row>
    <row r="223" customFormat="false" ht="15" hidden="false" customHeight="false" outlineLevel="0" collapsed="false">
      <c r="A223" s="2" t="str">
        <f aca="false">'Raw Data'!A223</f>
        <v>ORD-17182</v>
      </c>
      <c r="B223" s="2" t="str">
        <f aca="false">IFERROR(DATEVALUE('Raw Data'!B223),"Check Format")</f>
        <v>Check Format</v>
      </c>
      <c r="C223" s="2" t="str">
        <f aca="false">IF('Raw Data'!E223="",IFERROR(INDEX('Raw Data'!$E$2:$E$501,MATCH('Raw Data'!D223,'Raw Data'!$D$2:$D$501,0)),"Unknown Customer"),'Raw Data'!E223)</f>
        <v>Kevin Escobar</v>
      </c>
      <c r="D223" s="2" t="str">
        <f aca="false">PROPER(TRIM('Raw Data'!G223))</f>
        <v>Jersey City</v>
      </c>
      <c r="E223" s="2" t="n">
        <f aca="false">ROUND(VALUE(SUBSTITUTE(TRIM('Raw Data'!M223),"$","")),2)</f>
        <v>6046.39</v>
      </c>
      <c r="F223" s="2" t="n">
        <f aca="false">IF('Raw Data'!O223="",0,'Raw Data'!O223)</f>
        <v>0.15</v>
      </c>
      <c r="G223" s="2" t="n">
        <f aca="false">ROUND('Raw Data'!P223,2)</f>
        <v>790.16</v>
      </c>
      <c r="H223" s="2" t="str">
        <f aca="false">IF('Raw Data'!S223="","Medium",'Raw Data'!S223)</f>
        <v>Critical</v>
      </c>
      <c r="I223" s="2" t="str">
        <f aca="false">IF(E223&lt;100,"Small",IF(E223&lt;500,"Medium",IF(E223&lt;1500,"Large","Very Large")))</f>
        <v>Very Large</v>
      </c>
    </row>
    <row r="224" customFormat="false" ht="15" hidden="false" customHeight="false" outlineLevel="0" collapsed="false">
      <c r="A224" s="2" t="str">
        <f aca="false">'Raw Data'!A224</f>
        <v>ORD-5595</v>
      </c>
      <c r="B224" s="2" t="str">
        <f aca="false">IFERROR(DATEVALUE('Raw Data'!B224),"Check Format")</f>
        <v>Check Format</v>
      </c>
      <c r="C224" s="2" t="str">
        <f aca="false">IF('Raw Data'!E224="",IFERROR(INDEX('Raw Data'!$E$2:$E$501,MATCH('Raw Data'!D224,'Raw Data'!$D$2:$D$501,0)),"Unknown Customer"),'Raw Data'!E224)</f>
        <v>Maria Fisher</v>
      </c>
      <c r="D224" s="2" t="str">
        <f aca="false">PROPER(TRIM('Raw Data'!G224))</f>
        <v>Tacoma</v>
      </c>
      <c r="E224" s="2" t="n">
        <f aca="false">ROUND(VALUE(SUBSTITUTE(TRIM('Raw Data'!M224),"$","")),2)</f>
        <v>738.9</v>
      </c>
      <c r="F224" s="2" t="n">
        <f aca="false">IF('Raw Data'!O224="",0,'Raw Data'!O224)</f>
        <v>0.3</v>
      </c>
      <c r="G224" s="2" t="n">
        <f aca="false">ROUND('Raw Data'!P224,2)</f>
        <v>-17.67</v>
      </c>
      <c r="H224" s="2" t="str">
        <f aca="false">IF('Raw Data'!S224="","Medium",'Raw Data'!S224)</f>
        <v>Critical</v>
      </c>
      <c r="I224" s="2" t="str">
        <f aca="false">IF(E224&lt;100,"Small",IF(E224&lt;500,"Medium",IF(E224&lt;1500,"Large","Very Large")))</f>
        <v>Large</v>
      </c>
    </row>
    <row r="225" customFormat="false" ht="15" hidden="false" customHeight="false" outlineLevel="0" collapsed="false">
      <c r="A225" s="2" t="str">
        <f aca="false">'Raw Data'!A225</f>
        <v>ORD-8781</v>
      </c>
      <c r="B225" s="3" t="n">
        <f aca="false">IFERROR(DATEVALUE('Raw Data'!B225),"Check Format")</f>
        <v>45970</v>
      </c>
      <c r="C225" s="2" t="str">
        <f aca="false">IF('Raw Data'!E225="",IFERROR(INDEX('Raw Data'!$E$2:$E$501,MATCH('Raw Data'!D225,'Raw Data'!$D$2:$D$501,0)),"Unknown Customer"),'Raw Data'!E225)</f>
        <v>Bryan Gomez</v>
      </c>
      <c r="D225" s="2" t="str">
        <f aca="false">PROPER(TRIM('Raw Data'!G225))</f>
        <v>Nashville</v>
      </c>
      <c r="E225" s="2" t="n">
        <f aca="false">ROUND(VALUE(SUBSTITUTE(TRIM('Raw Data'!M225),"$","")),2)</f>
        <v>347.04</v>
      </c>
      <c r="F225" s="2" t="n">
        <f aca="false">IF('Raw Data'!O225="",0,'Raw Data'!O225)</f>
        <v>0</v>
      </c>
      <c r="G225" s="2" t="n">
        <f aca="false">ROUND('Raw Data'!P225,2)</f>
        <v>92</v>
      </c>
      <c r="H225" s="2" t="str">
        <f aca="false">IF('Raw Data'!S225="","Medium",'Raw Data'!S225)</f>
        <v>Low</v>
      </c>
      <c r="I225" s="2" t="str">
        <f aca="false">IF(E225&lt;100,"Small",IF(E225&lt;500,"Medium",IF(E225&lt;1500,"Large","Very Large")))</f>
        <v>Medium</v>
      </c>
    </row>
    <row r="226" customFormat="false" ht="15" hidden="false" customHeight="false" outlineLevel="0" collapsed="false">
      <c r="A226" s="2" t="str">
        <f aca="false">'Raw Data'!A226</f>
        <v>ORD-6701</v>
      </c>
      <c r="B226" s="3" t="n">
        <f aca="false">IFERROR(DATEVALUE('Raw Data'!B226),"Check Format")</f>
        <v>45820</v>
      </c>
      <c r="C226" s="2" t="str">
        <f aca="false">IF('Raw Data'!E226="",IFERROR(INDEX('Raw Data'!$E$2:$E$501,MATCH('Raw Data'!D226,'Raw Data'!$D$2:$D$501,0)),"Unknown Customer"),'Raw Data'!E226)</f>
        <v>Sarah King</v>
      </c>
      <c r="D226" s="2" t="str">
        <f aca="false">PROPER(TRIM('Raw Data'!G226))</f>
        <v>Jersey City</v>
      </c>
      <c r="E226" s="2" t="n">
        <f aca="false">ROUND(VALUE(SUBSTITUTE(TRIM('Raw Data'!M226),"$","")),2)</f>
        <v>37.51</v>
      </c>
      <c r="F226" s="2" t="n">
        <f aca="false">IF('Raw Data'!O226="",0,'Raw Data'!O226)</f>
        <v>0.15</v>
      </c>
      <c r="G226" s="2" t="n">
        <f aca="false">ROUND('Raw Data'!P226,2)</f>
        <v>2.29</v>
      </c>
      <c r="H226" s="2" t="str">
        <f aca="false">IF('Raw Data'!S226="","Medium",'Raw Data'!S226)</f>
        <v>Critical</v>
      </c>
      <c r="I226" s="2" t="str">
        <f aca="false">IF(E226&lt;100,"Small",IF(E226&lt;500,"Medium",IF(E226&lt;1500,"Large","Very Large")))</f>
        <v>Small</v>
      </c>
    </row>
    <row r="227" customFormat="false" ht="15" hidden="false" customHeight="false" outlineLevel="0" collapsed="false">
      <c r="A227" s="2" t="str">
        <f aca="false">'Raw Data'!A227</f>
        <v>ORD-5888</v>
      </c>
      <c r="B227" s="2" t="str">
        <f aca="false">IFERROR(DATEVALUE('Raw Data'!B227),"Check Format")</f>
        <v>Check Format</v>
      </c>
      <c r="C227" s="2" t="str">
        <f aca="false">IF('Raw Data'!E227="",IFERROR(INDEX('Raw Data'!$E$2:$E$501,MATCH('Raw Data'!D227,'Raw Data'!$D$2:$D$501,0)),"Unknown Customer"),'Raw Data'!E227)</f>
        <v>Andre Watson</v>
      </c>
      <c r="D227" s="2" t="str">
        <f aca="false">PROPER(TRIM('Raw Data'!G227))</f>
        <v>Baton Rouge</v>
      </c>
      <c r="E227" s="2" t="n">
        <f aca="false">ROUND(VALUE(SUBSTITUTE(TRIM('Raw Data'!M227),"$","")),2)</f>
        <v>1540.71</v>
      </c>
      <c r="F227" s="2" t="n">
        <f aca="false">IF('Raw Data'!O227="",0,'Raw Data'!O227)</f>
        <v>0.1</v>
      </c>
      <c r="G227" s="2" t="n">
        <f aca="false">ROUND('Raw Data'!P227,2)</f>
        <v>514.53</v>
      </c>
      <c r="H227" s="2" t="str">
        <f aca="false">IF('Raw Data'!S227="","Medium",'Raw Data'!S227)</f>
        <v>Medium</v>
      </c>
      <c r="I227" s="2" t="str">
        <f aca="false">IF(E227&lt;100,"Small",IF(E227&lt;500,"Medium",IF(E227&lt;1500,"Large","Very Large")))</f>
        <v>Very Large</v>
      </c>
    </row>
    <row r="228" customFormat="false" ht="15" hidden="false" customHeight="false" outlineLevel="0" collapsed="false">
      <c r="A228" s="2" t="str">
        <f aca="false">'Raw Data'!A228</f>
        <v>ORD-14156</v>
      </c>
      <c r="B228" s="3" t="n">
        <f aca="false">IFERROR(DATEVALUE('Raw Data'!B228),"Check Format")</f>
        <v>45164</v>
      </c>
      <c r="C228" s="2" t="str">
        <f aca="false">IF('Raw Data'!E228="",IFERROR(INDEX('Raw Data'!$E$2:$E$501,MATCH('Raw Data'!D228,'Raw Data'!$D$2:$D$501,0)),"Unknown Customer"),'Raw Data'!E228)</f>
        <v>Stephanie Ross</v>
      </c>
      <c r="D228" s="2" t="str">
        <f aca="false">PROPER(TRIM('Raw Data'!G228))</f>
        <v>Boston</v>
      </c>
      <c r="E228" s="2" t="n">
        <f aca="false">ROUND(VALUE(SUBSTITUTE(TRIM('Raw Data'!M228),"$","")),2)</f>
        <v>54.63</v>
      </c>
      <c r="F228" s="2" t="n">
        <f aca="false">IF('Raw Data'!O228="",0,'Raw Data'!O228)</f>
        <v>0.2</v>
      </c>
      <c r="G228" s="2" t="n">
        <f aca="false">ROUND('Raw Data'!P228,2)</f>
        <v>3.51</v>
      </c>
      <c r="H228" s="2" t="str">
        <f aca="false">IF('Raw Data'!S228="","Medium",'Raw Data'!S228)</f>
        <v>Low</v>
      </c>
      <c r="I228" s="2" t="str">
        <f aca="false">IF(E228&lt;100,"Small",IF(E228&lt;500,"Medium",IF(E228&lt;1500,"Large","Very Large")))</f>
        <v>Small</v>
      </c>
    </row>
    <row r="229" customFormat="false" ht="15" hidden="false" customHeight="false" outlineLevel="0" collapsed="false">
      <c r="A229" s="2" t="str">
        <f aca="false">'Raw Data'!A229</f>
        <v>ORD-3026</v>
      </c>
      <c r="B229" s="3" t="n">
        <f aca="false">IFERROR(DATEVALUE('Raw Data'!B229),"Check Format")</f>
        <v>45576</v>
      </c>
      <c r="C229" s="2" t="str">
        <f aca="false">IF('Raw Data'!E229="",IFERROR(INDEX('Raw Data'!$E$2:$E$501,MATCH('Raw Data'!D229,'Raw Data'!$D$2:$D$501,0)),"Unknown Customer"),'Raw Data'!E229)</f>
        <v>Matthew Wells</v>
      </c>
      <c r="D229" s="2" t="str">
        <f aca="false">PROPER(TRIM('Raw Data'!G229))</f>
        <v>Tucson</v>
      </c>
      <c r="E229" s="2" t="n">
        <f aca="false">ROUND(VALUE(SUBSTITUTE(TRIM('Raw Data'!M229),"$","")),2)</f>
        <v>171.18</v>
      </c>
      <c r="F229" s="2" t="n">
        <f aca="false">IF('Raw Data'!O229="",0,'Raw Data'!O229)</f>
        <v>0</v>
      </c>
      <c r="G229" s="2" t="n">
        <f aca="false">ROUND('Raw Data'!P229,2)</f>
        <v>0</v>
      </c>
      <c r="H229" s="2" t="str">
        <f aca="false">IF('Raw Data'!S229="","Medium",'Raw Data'!S229)</f>
        <v>Low</v>
      </c>
      <c r="I229" s="2" t="str">
        <f aca="false">IF(E229&lt;100,"Small",IF(E229&lt;500,"Medium",IF(E229&lt;1500,"Large","Very Large")))</f>
        <v>Medium</v>
      </c>
    </row>
    <row r="230" customFormat="false" ht="15" hidden="false" customHeight="false" outlineLevel="0" collapsed="false">
      <c r="A230" s="2" t="str">
        <f aca="false">'Raw Data'!A230</f>
        <v>ORD-12051</v>
      </c>
      <c r="B230" s="2" t="str">
        <f aca="false">IFERROR(DATEVALUE('Raw Data'!B230),"Check Format")</f>
        <v>Check Format</v>
      </c>
      <c r="C230" s="2" t="str">
        <f aca="false">IF('Raw Data'!E230="",IFERROR(INDEX('Raw Data'!$E$2:$E$501,MATCH('Raw Data'!D230,'Raw Data'!$D$2:$D$501,0)),"Unknown Customer"),'Raw Data'!E230)</f>
        <v>Steve Rivera</v>
      </c>
      <c r="D230" s="2" t="str">
        <f aca="false">PROPER(TRIM('Raw Data'!G230))</f>
        <v>Atlanta</v>
      </c>
      <c r="E230" s="2" t="n">
        <f aca="false">ROUND(VALUE(SUBSTITUTE(TRIM('Raw Data'!M230),"$","")),2)</f>
        <v>3760.68</v>
      </c>
      <c r="F230" s="2" t="n">
        <f aca="false">IF('Raw Data'!O230="",0,'Raw Data'!O230)</f>
        <v>0.15</v>
      </c>
      <c r="G230" s="2" t="n">
        <f aca="false">ROUND('Raw Data'!P230,2)</f>
        <v>397.59</v>
      </c>
      <c r="H230" s="2" t="str">
        <f aca="false">IF('Raw Data'!S230="","Medium",'Raw Data'!S230)</f>
        <v>Low</v>
      </c>
      <c r="I230" s="2" t="str">
        <f aca="false">IF(E230&lt;100,"Small",IF(E230&lt;500,"Medium",IF(E230&lt;1500,"Large","Very Large")))</f>
        <v>Very Large</v>
      </c>
    </row>
    <row r="231" customFormat="false" ht="15" hidden="false" customHeight="false" outlineLevel="0" collapsed="false">
      <c r="A231" s="2" t="str">
        <f aca="false">'Raw Data'!A231</f>
        <v>ORD-17361</v>
      </c>
      <c r="B231" s="3" t="n">
        <f aca="false">IFERROR(DATEVALUE('Raw Data'!B231),"Check Format")</f>
        <v>45119</v>
      </c>
      <c r="C231" s="2" t="str">
        <f aca="false">IF('Raw Data'!E231="",IFERROR(INDEX('Raw Data'!$E$2:$E$501,MATCH('Raw Data'!D231,'Raw Data'!$D$2:$D$501,0)),"Unknown Customer"),'Raw Data'!E231)</f>
        <v>Mary Jensen</v>
      </c>
      <c r="D231" s="2" t="str">
        <f aca="false">PROPER(TRIM('Raw Data'!G231))</f>
        <v>Las Vegas</v>
      </c>
      <c r="E231" s="2" t="n">
        <f aca="false">ROUND(VALUE(SUBSTITUTE(TRIM('Raw Data'!M231),"$","")),2)</f>
        <v>306.09</v>
      </c>
      <c r="F231" s="2" t="n">
        <f aca="false">IF('Raw Data'!O231="",0,'Raw Data'!O231)</f>
        <v>0.2</v>
      </c>
      <c r="G231" s="2" t="n">
        <f aca="false">ROUND('Raw Data'!P231,2)</f>
        <v>17.18</v>
      </c>
      <c r="H231" s="2" t="str">
        <f aca="false">IF('Raw Data'!S231="","Medium",'Raw Data'!S231)</f>
        <v>High</v>
      </c>
      <c r="I231" s="2" t="str">
        <f aca="false">IF(E231&lt;100,"Small",IF(E231&lt;500,"Medium",IF(E231&lt;1500,"Large","Very Large")))</f>
        <v>Medium</v>
      </c>
    </row>
    <row r="232" customFormat="false" ht="15" hidden="false" customHeight="false" outlineLevel="0" collapsed="false">
      <c r="A232" s="2" t="str">
        <f aca="false">'Raw Data'!A232</f>
        <v>ORD-3330</v>
      </c>
      <c r="B232" s="3" t="n">
        <f aca="false">IFERROR(DATEVALUE('Raw Data'!B232),"Check Format")</f>
        <v>45146</v>
      </c>
      <c r="C232" s="2" t="str">
        <f aca="false">IF('Raw Data'!E232="",IFERROR(INDEX('Raw Data'!$E$2:$E$501,MATCH('Raw Data'!D232,'Raw Data'!$D$2:$D$501,0)),"Unknown Customer"),'Raw Data'!E232)</f>
        <v>Nathan Wilson</v>
      </c>
      <c r="D232" s="2" t="str">
        <f aca="false">PROPER(TRIM('Raw Data'!G232))</f>
        <v>Dallas</v>
      </c>
      <c r="E232" s="2" t="n">
        <f aca="false">ROUND(VALUE(SUBSTITUTE(TRIM('Raw Data'!M232),"$","")),2)</f>
        <v>1690.56</v>
      </c>
      <c r="F232" s="2" t="n">
        <f aca="false">IF('Raw Data'!O232="",0,'Raw Data'!O232)</f>
        <v>0</v>
      </c>
      <c r="G232" s="2" t="n">
        <f aca="false">ROUND('Raw Data'!P232,2)</f>
        <v>663.28</v>
      </c>
      <c r="H232" s="2" t="str">
        <f aca="false">IF('Raw Data'!S232="","Medium",'Raw Data'!S232)</f>
        <v>Medium</v>
      </c>
      <c r="I232" s="2" t="str">
        <f aca="false">IF(E232&lt;100,"Small",IF(E232&lt;500,"Medium",IF(E232&lt;1500,"Large","Very Large")))</f>
        <v>Very Large</v>
      </c>
    </row>
    <row r="233" customFormat="false" ht="15" hidden="false" customHeight="false" outlineLevel="0" collapsed="false">
      <c r="A233" s="2" t="str">
        <f aca="false">'Raw Data'!A233</f>
        <v>ORD-11667</v>
      </c>
      <c r="B233" s="2" t="str">
        <f aca="false">IFERROR(DATEVALUE('Raw Data'!B233),"Check Format")</f>
        <v>Check Format</v>
      </c>
      <c r="C233" s="2" t="str">
        <f aca="false">IF('Raw Data'!E233="",IFERROR(INDEX('Raw Data'!$E$2:$E$501,MATCH('Raw Data'!D233,'Raw Data'!$D$2:$D$501,0)),"Unknown Customer"),'Raw Data'!E233)</f>
        <v>Virginia Casey</v>
      </c>
      <c r="D233" s="2" t="str">
        <f aca="false">PROPER(TRIM('Raw Data'!G233))</f>
        <v>Nashville</v>
      </c>
      <c r="E233" s="2" t="n">
        <f aca="false">ROUND(VALUE(SUBSTITUTE(TRIM('Raw Data'!M233),"$","")),2)</f>
        <v>4079.88</v>
      </c>
      <c r="F233" s="2" t="n">
        <f aca="false">IF('Raw Data'!O233="",0,'Raw Data'!O233)</f>
        <v>0</v>
      </c>
      <c r="G233" s="2" t="n">
        <f aca="false">ROUND('Raw Data'!P233,2)</f>
        <v>737.72</v>
      </c>
      <c r="H233" s="2" t="str">
        <f aca="false">IF('Raw Data'!S233="","Medium",'Raw Data'!S233)</f>
        <v>Low</v>
      </c>
      <c r="I233" s="2" t="str">
        <f aca="false">IF(E233&lt;100,"Small",IF(E233&lt;500,"Medium",IF(E233&lt;1500,"Large","Very Large")))</f>
        <v>Very Large</v>
      </c>
    </row>
    <row r="234" customFormat="false" ht="15" hidden="false" customHeight="false" outlineLevel="0" collapsed="false">
      <c r="A234" s="2" t="str">
        <f aca="false">'Raw Data'!A234</f>
        <v>ORD-6591</v>
      </c>
      <c r="B234" s="2" t="str">
        <f aca="false">IFERROR(DATEVALUE('Raw Data'!B234),"Check Format")</f>
        <v>Check Format</v>
      </c>
      <c r="C234" s="2" t="str">
        <f aca="false">IF('Raw Data'!E234="",IFERROR(INDEX('Raw Data'!$E$2:$E$501,MATCH('Raw Data'!D234,'Raw Data'!$D$2:$D$501,0)),"Unknown Customer"),'Raw Data'!E234)</f>
        <v>Patricia Le</v>
      </c>
      <c r="D234" s="2" t="str">
        <f aca="false">PROPER(TRIM('Raw Data'!G234))</f>
        <v>Albany</v>
      </c>
      <c r="E234" s="2" t="n">
        <f aca="false">ROUND(VALUE(SUBSTITUTE(TRIM('Raw Data'!M234),"$","")),2)</f>
        <v>2854.62</v>
      </c>
      <c r="F234" s="2" t="n">
        <f aca="false">IF('Raw Data'!O234="",0,'Raw Data'!O234)</f>
        <v>0.4</v>
      </c>
      <c r="G234" s="2" t="n">
        <f aca="false">ROUND('Raw Data'!P234,2)</f>
        <v>-174.68</v>
      </c>
      <c r="H234" s="2" t="str">
        <f aca="false">IF('Raw Data'!S234="","Medium",'Raw Data'!S234)</f>
        <v>High</v>
      </c>
      <c r="I234" s="2" t="str">
        <f aca="false">IF(E234&lt;100,"Small",IF(E234&lt;500,"Medium",IF(E234&lt;1500,"Large","Very Large")))</f>
        <v>Very Large</v>
      </c>
    </row>
    <row r="235" customFormat="false" ht="15" hidden="false" customHeight="false" outlineLevel="0" collapsed="false">
      <c r="A235" s="2" t="str">
        <f aca="false">'Raw Data'!A235</f>
        <v>ORD-13312</v>
      </c>
      <c r="B235" s="3" t="n">
        <f aca="false">IFERROR(DATEVALUE('Raw Data'!B235),"Check Format")</f>
        <v>45585</v>
      </c>
      <c r="C235" s="2" t="str">
        <f aca="false">IF('Raw Data'!E235="",IFERROR(INDEX('Raw Data'!$E$2:$E$501,MATCH('Raw Data'!D235,'Raw Data'!$D$2:$D$501,0)),"Unknown Customer"),'Raw Data'!E235)</f>
        <v>Kirk Carter</v>
      </c>
      <c r="D235" s="2" t="str">
        <f aca="false">PROPER(TRIM('Raw Data'!G235))</f>
        <v>Phoenix</v>
      </c>
      <c r="E235" s="2" t="n">
        <f aca="false">ROUND(VALUE(SUBSTITUTE(TRIM('Raw Data'!M235),"$","")),2)</f>
        <v>2229.2</v>
      </c>
      <c r="F235" s="2" t="n">
        <f aca="false">IF('Raw Data'!O235="",0,'Raw Data'!O235)</f>
        <v>0.1</v>
      </c>
      <c r="G235" s="2" t="n">
        <f aca="false">ROUND('Raw Data'!P235,2)</f>
        <v>600.34</v>
      </c>
      <c r="H235" s="2" t="str">
        <f aca="false">IF('Raw Data'!S235="","Medium",'Raw Data'!S235)</f>
        <v>High</v>
      </c>
      <c r="I235" s="2" t="str">
        <f aca="false">IF(E235&lt;100,"Small",IF(E235&lt;500,"Medium",IF(E235&lt;1500,"Large","Very Large")))</f>
        <v>Very Large</v>
      </c>
    </row>
    <row r="236" customFormat="false" ht="15" hidden="false" customHeight="false" outlineLevel="0" collapsed="false">
      <c r="A236" s="2" t="str">
        <f aca="false">'Raw Data'!A236</f>
        <v>ORD-13894</v>
      </c>
      <c r="B236" s="3" t="n">
        <f aca="false">IFERROR(DATEVALUE('Raw Data'!B236),"Check Format")</f>
        <v>45307</v>
      </c>
      <c r="C236" s="2" t="str">
        <f aca="false">IF('Raw Data'!E236="",IFERROR(INDEX('Raw Data'!$E$2:$E$501,MATCH('Raw Data'!D236,'Raw Data'!$D$2:$D$501,0)),"Unknown Customer"),'Raw Data'!E236)</f>
        <v>Maria Fisher</v>
      </c>
      <c r="D236" s="2" t="str">
        <f aca="false">PROPER(TRIM('Raw Data'!G236))</f>
        <v>Boston</v>
      </c>
      <c r="E236" s="2" t="n">
        <f aca="false">ROUND(VALUE(SUBSTITUTE(TRIM('Raw Data'!M236),"$","")),2)</f>
        <v>7391.9</v>
      </c>
      <c r="F236" s="2" t="n">
        <f aca="false">IF('Raw Data'!O236="",0,'Raw Data'!O236)</f>
        <v>0.4</v>
      </c>
      <c r="G236" s="2" t="n">
        <f aca="false">ROUND('Raw Data'!P236,2)</f>
        <v>-1111.2</v>
      </c>
      <c r="H236" s="2" t="str">
        <f aca="false">IF('Raw Data'!S236="","Medium",'Raw Data'!S236)</f>
        <v>Low</v>
      </c>
      <c r="I236" s="2" t="str">
        <f aca="false">IF(E236&lt;100,"Small",IF(E236&lt;500,"Medium",IF(E236&lt;1500,"Large","Very Large")))</f>
        <v>Very Large</v>
      </c>
    </row>
    <row r="237" customFormat="false" ht="15" hidden="false" customHeight="false" outlineLevel="0" collapsed="false">
      <c r="A237" s="2" t="str">
        <f aca="false">'Raw Data'!A237</f>
        <v>ORD-9638</v>
      </c>
      <c r="B237" s="3" t="n">
        <f aca="false">IFERROR(DATEVALUE('Raw Data'!B237),"Check Format")</f>
        <v>45767</v>
      </c>
      <c r="C237" s="2" t="str">
        <f aca="false">IF('Raw Data'!E237="",IFERROR(INDEX('Raw Data'!$E$2:$E$501,MATCH('Raw Data'!D237,'Raw Data'!$D$2:$D$501,0)),"Unknown Customer"),'Raw Data'!E237)</f>
        <v>Marc Moore</v>
      </c>
      <c r="D237" s="2" t="str">
        <f aca="false">PROPER(TRIM('Raw Data'!G237))</f>
        <v>Orlando</v>
      </c>
      <c r="E237" s="2" t="n">
        <f aca="false">ROUND(VALUE(SUBSTITUTE(TRIM('Raw Data'!M237),"$","")),2)</f>
        <v>1333.36</v>
      </c>
      <c r="F237" s="2" t="n">
        <f aca="false">IF('Raw Data'!O237="",0,'Raw Data'!O237)</f>
        <v>0</v>
      </c>
      <c r="G237" s="2" t="n">
        <f aca="false">ROUND('Raw Data'!P237,2)</f>
        <v>251.71</v>
      </c>
      <c r="H237" s="2" t="str">
        <f aca="false">IF('Raw Data'!S237="","Medium",'Raw Data'!S237)</f>
        <v>Low</v>
      </c>
      <c r="I237" s="2" t="str">
        <f aca="false">IF(E237&lt;100,"Small",IF(E237&lt;500,"Medium",IF(E237&lt;1500,"Large","Very Large")))</f>
        <v>Large</v>
      </c>
    </row>
    <row r="238" customFormat="false" ht="15" hidden="false" customHeight="false" outlineLevel="0" collapsed="false">
      <c r="A238" s="2" t="str">
        <f aca="false">'Raw Data'!A238</f>
        <v>ORD-16132</v>
      </c>
      <c r="B238" s="2" t="str">
        <f aca="false">IFERROR(DATEVALUE('Raw Data'!B238),"Check Format")</f>
        <v>Check Format</v>
      </c>
      <c r="C238" s="2" t="str">
        <f aca="false">IF('Raw Data'!E238="",IFERROR(INDEX('Raw Data'!$E$2:$E$501,MATCH('Raw Data'!D238,'Raw Data'!$D$2:$D$501,0)),"Unknown Customer"),'Raw Data'!E238)</f>
        <v>John Garcia</v>
      </c>
      <c r="D238" s="2" t="str">
        <f aca="false">PROPER(TRIM('Raw Data'!G238))</f>
        <v>Tucson</v>
      </c>
      <c r="E238" s="2" t="n">
        <f aca="false">ROUND(VALUE(SUBSTITUTE(TRIM('Raw Data'!M238),"$","")),2)</f>
        <v>4087.6</v>
      </c>
      <c r="F238" s="2" t="n">
        <f aca="false">IF('Raw Data'!O238="",0,'Raw Data'!O238)</f>
        <v>0.3</v>
      </c>
      <c r="G238" s="2" t="n">
        <f aca="false">ROUND('Raw Data'!P238,2)</f>
        <v>-420.19</v>
      </c>
      <c r="H238" s="2" t="str">
        <f aca="false">IF('Raw Data'!S238="","Medium",'Raw Data'!S238)</f>
        <v>High</v>
      </c>
      <c r="I238" s="2" t="str">
        <f aca="false">IF(E238&lt;100,"Small",IF(E238&lt;500,"Medium",IF(E238&lt;1500,"Large","Very Large")))</f>
        <v>Very Large</v>
      </c>
    </row>
    <row r="239" customFormat="false" ht="15" hidden="false" customHeight="false" outlineLevel="0" collapsed="false">
      <c r="A239" s="2" t="str">
        <f aca="false">'Raw Data'!A239</f>
        <v>ORD-15595</v>
      </c>
      <c r="B239" s="3" t="n">
        <f aca="false">IFERROR(DATEVALUE('Raw Data'!B239),"Check Format")</f>
        <v>45751</v>
      </c>
      <c r="C239" s="2" t="str">
        <f aca="false">IF('Raw Data'!E239="",IFERROR(INDEX('Raw Data'!$E$2:$E$501,MATCH('Raw Data'!D239,'Raw Data'!$D$2:$D$501,0)),"Unknown Customer"),'Raw Data'!E239)</f>
        <v>Christopher Bass</v>
      </c>
      <c r="D239" s="2" t="str">
        <f aca="false">PROPER(TRIM('Raw Data'!G239))</f>
        <v>Ann Arbor</v>
      </c>
      <c r="E239" s="2" t="n">
        <f aca="false">ROUND(VALUE(SUBSTITUTE(TRIM('Raw Data'!M239),"$","")),2)</f>
        <v>4884.77</v>
      </c>
      <c r="F239" s="2" t="n">
        <f aca="false">IF('Raw Data'!O239="",0,'Raw Data'!O239)</f>
        <v>0</v>
      </c>
      <c r="G239" s="2" t="n">
        <f aca="false">ROUND('Raw Data'!P239,2)</f>
        <v>1577.84</v>
      </c>
      <c r="H239" s="2" t="str">
        <f aca="false">IF('Raw Data'!S239="","Medium",'Raw Data'!S239)</f>
        <v>Low</v>
      </c>
      <c r="I239" s="2" t="str">
        <f aca="false">IF(E239&lt;100,"Small",IF(E239&lt;500,"Medium",IF(E239&lt;1500,"Large","Very Large")))</f>
        <v>Very Large</v>
      </c>
    </row>
    <row r="240" customFormat="false" ht="15" hidden="false" customHeight="false" outlineLevel="0" collapsed="false">
      <c r="A240" s="2" t="str">
        <f aca="false">'Raw Data'!A240</f>
        <v>ORD-9654</v>
      </c>
      <c r="B240" s="3" t="n">
        <f aca="false">IFERROR(DATEVALUE('Raw Data'!B240),"Check Format")</f>
        <v>45623</v>
      </c>
      <c r="C240" s="2" t="str">
        <f aca="false">IF('Raw Data'!E240="",IFERROR(INDEX('Raw Data'!$E$2:$E$501,MATCH('Raw Data'!D240,'Raw Data'!$D$2:$D$501,0)),"Unknown Customer"),'Raw Data'!E240)</f>
        <v>Lance Simmons</v>
      </c>
      <c r="D240" s="2" t="str">
        <f aca="false">PROPER(TRIM('Raw Data'!G240))</f>
        <v>Charlotte</v>
      </c>
      <c r="E240" s="2" t="n">
        <f aca="false">ROUND(VALUE(SUBSTITUTE(TRIM('Raw Data'!M240),"$","")),2)</f>
        <v>3611.58</v>
      </c>
      <c r="F240" s="2" t="n">
        <f aca="false">IF('Raw Data'!O240="",0,'Raw Data'!O240)</f>
        <v>0.4</v>
      </c>
      <c r="G240" s="2" t="n">
        <f aca="false">ROUND('Raw Data'!P240,2)</f>
        <v>-37.26</v>
      </c>
      <c r="H240" s="2" t="str">
        <f aca="false">IF('Raw Data'!S240="","Medium",'Raw Data'!S240)</f>
        <v>Low</v>
      </c>
      <c r="I240" s="2" t="str">
        <f aca="false">IF(E240&lt;100,"Small",IF(E240&lt;500,"Medium",IF(E240&lt;1500,"Large","Very Large")))</f>
        <v>Very Large</v>
      </c>
    </row>
    <row r="241" customFormat="false" ht="15" hidden="false" customHeight="false" outlineLevel="0" collapsed="false">
      <c r="A241" s="2" t="str">
        <f aca="false">'Raw Data'!A241</f>
        <v>ORD-14836</v>
      </c>
      <c r="B241" s="3" t="n">
        <f aca="false">IFERROR(DATEVALUE('Raw Data'!B241),"Check Format")</f>
        <v>45055</v>
      </c>
      <c r="C241" s="2" t="n">
        <f aca="false">IF('Raw Data'!E241="",IFERROR(INDEX('Raw Data'!$E$2:$E$501,MATCH('Raw Data'!D241,'Raw Data'!$D$2:$D$501,0)),"Unknown Customer"),'Raw Data'!E241)</f>
        <v>0</v>
      </c>
      <c r="D241" s="2" t="str">
        <f aca="false">PROPER(TRIM('Raw Data'!G241))</f>
        <v>Phoenix</v>
      </c>
      <c r="E241" s="2" t="n">
        <f aca="false">ROUND(VALUE(SUBSTITUTE(TRIM('Raw Data'!M241),"$","")),2)</f>
        <v>423.8</v>
      </c>
      <c r="F241" s="2" t="n">
        <f aca="false">IF('Raw Data'!O241="",0,'Raw Data'!O241)</f>
        <v>0.2</v>
      </c>
      <c r="G241" s="2" t="n">
        <f aca="false">ROUND('Raw Data'!P241,2)</f>
        <v>23.39</v>
      </c>
      <c r="H241" s="2" t="str">
        <f aca="false">IF('Raw Data'!S241="","Medium",'Raw Data'!S241)</f>
        <v>Medium</v>
      </c>
      <c r="I241" s="2" t="str">
        <f aca="false">IF(E241&lt;100,"Small",IF(E241&lt;500,"Medium",IF(E241&lt;1500,"Large","Very Large")))</f>
        <v>Medium</v>
      </c>
    </row>
    <row r="242" customFormat="false" ht="15" hidden="false" customHeight="false" outlineLevel="0" collapsed="false">
      <c r="A242" s="2" t="str">
        <f aca="false">'Raw Data'!A242</f>
        <v>ORD-12645</v>
      </c>
      <c r="B242" s="2" t="str">
        <f aca="false">IFERROR(DATEVALUE('Raw Data'!B242),"Check Format")</f>
        <v>Check Format</v>
      </c>
      <c r="C242" s="2" t="str">
        <f aca="false">IF('Raw Data'!E242="",IFERROR(INDEX('Raw Data'!$E$2:$E$501,MATCH('Raw Data'!D242,'Raw Data'!$D$2:$D$501,0)),"Unknown Customer"),'Raw Data'!E242)</f>
        <v>Jeffrey Roberson</v>
      </c>
      <c r="D242" s="2" t="str">
        <f aca="false">PROPER(TRIM('Raw Data'!G242))</f>
        <v>Austin</v>
      </c>
      <c r="E242" s="2" t="n">
        <f aca="false">ROUND(VALUE(SUBSTITUTE(TRIM('Raw Data'!M242),"$","")),2)</f>
        <v>105.21</v>
      </c>
      <c r="F242" s="2" t="n">
        <f aca="false">IF('Raw Data'!O242="",0,'Raw Data'!O242)</f>
        <v>0.4</v>
      </c>
      <c r="G242" s="2" t="n">
        <f aca="false">ROUND('Raw Data'!P242,2)</f>
        <v>-23.87</v>
      </c>
      <c r="H242" s="2" t="str">
        <f aca="false">IF('Raw Data'!S242="","Medium",'Raw Data'!S242)</f>
        <v>High</v>
      </c>
      <c r="I242" s="2" t="str">
        <f aca="false">IF(E242&lt;100,"Small",IF(E242&lt;500,"Medium",IF(E242&lt;1500,"Large","Very Large")))</f>
        <v>Medium</v>
      </c>
    </row>
    <row r="243" customFormat="false" ht="15" hidden="false" customHeight="false" outlineLevel="0" collapsed="false">
      <c r="A243" s="2" t="str">
        <f aca="false">'Raw Data'!A243</f>
        <v>ORD-11235</v>
      </c>
      <c r="B243" s="2" t="str">
        <f aca="false">IFERROR(DATEVALUE('Raw Data'!B243),"Check Format")</f>
        <v>Check Format</v>
      </c>
      <c r="C243" s="2" t="str">
        <f aca="false">IF('Raw Data'!E243="",IFERROR(INDEX('Raw Data'!$E$2:$E$501,MATCH('Raw Data'!D243,'Raw Data'!$D$2:$D$501,0)),"Unknown Customer"),'Raw Data'!E243)</f>
        <v>Daniel Fox</v>
      </c>
      <c r="D243" s="2" t="str">
        <f aca="false">PROPER(TRIM('Raw Data'!G243))</f>
        <v>Sacramento</v>
      </c>
      <c r="E243" s="2" t="n">
        <f aca="false">ROUND(VALUE(SUBSTITUTE(TRIM('Raw Data'!M243),"$","")),2)</f>
        <v>5217.85</v>
      </c>
      <c r="F243" s="2" t="n">
        <f aca="false">IF('Raw Data'!O243="",0,'Raw Data'!O243)</f>
        <v>0</v>
      </c>
      <c r="G243" s="2" t="n">
        <f aca="false">ROUND('Raw Data'!P243,2)</f>
        <v>1169.51</v>
      </c>
      <c r="H243" s="2" t="str">
        <f aca="false">IF('Raw Data'!S243="","Medium",'Raw Data'!S243)</f>
        <v>High</v>
      </c>
      <c r="I243" s="2" t="str">
        <f aca="false">IF(E243&lt;100,"Small",IF(E243&lt;500,"Medium",IF(E243&lt;1500,"Large","Very Large")))</f>
        <v>Very Large</v>
      </c>
    </row>
    <row r="244" customFormat="false" ht="15" hidden="false" customHeight="false" outlineLevel="0" collapsed="false">
      <c r="A244" s="2" t="str">
        <f aca="false">'Raw Data'!A244</f>
        <v>ORD-16444</v>
      </c>
      <c r="B244" s="3" t="n">
        <f aca="false">IFERROR(DATEVALUE('Raw Data'!B244),"Check Format")</f>
        <v>45999</v>
      </c>
      <c r="C244" s="2" t="str">
        <f aca="false">IF('Raw Data'!E244="",IFERROR(INDEX('Raw Data'!$E$2:$E$501,MATCH('Raw Data'!D244,'Raw Data'!$D$2:$D$501,0)),"Unknown Customer"),'Raw Data'!E244)</f>
        <v>Evelyn Galvan</v>
      </c>
      <c r="D244" s="2" t="str">
        <f aca="false">PROPER(TRIM('Raw Data'!G244))</f>
        <v>Columbus</v>
      </c>
      <c r="E244" s="2" t="n">
        <f aca="false">ROUND(VALUE(SUBSTITUTE(TRIM('Raw Data'!M244),"$","")),2)</f>
        <v>114.8</v>
      </c>
      <c r="F244" s="2" t="n">
        <f aca="false">IF('Raw Data'!O244="",0,'Raw Data'!O244)</f>
        <v>0.3</v>
      </c>
      <c r="G244" s="2" t="n">
        <f aca="false">ROUND('Raw Data'!P244,2)</f>
        <v>-10.91</v>
      </c>
      <c r="H244" s="2" t="str">
        <f aca="false">IF('Raw Data'!S244="","Medium",'Raw Data'!S244)</f>
        <v>High</v>
      </c>
      <c r="I244" s="2" t="str">
        <f aca="false">IF(E244&lt;100,"Small",IF(E244&lt;500,"Medium",IF(E244&lt;1500,"Large","Very Large")))</f>
        <v>Medium</v>
      </c>
    </row>
    <row r="245" customFormat="false" ht="15" hidden="false" customHeight="false" outlineLevel="0" collapsed="false">
      <c r="A245" s="2" t="str">
        <f aca="false">'Raw Data'!A245</f>
        <v>ORD-3363</v>
      </c>
      <c r="B245" s="3" t="n">
        <f aca="false">IFERROR(DATEVALUE('Raw Data'!B245),"Check Format")</f>
        <v>45504</v>
      </c>
      <c r="C245" s="2" t="str">
        <f aca="false">IF('Raw Data'!E245="",IFERROR(INDEX('Raw Data'!$E$2:$E$501,MATCH('Raw Data'!D245,'Raw Data'!$D$2:$D$501,0)),"Unknown Customer"),'Raw Data'!E245)</f>
        <v>Kevin Price</v>
      </c>
      <c r="D245" s="2" t="str">
        <f aca="false">PROPER(TRIM('Raw Data'!G245))</f>
        <v>Raleigh</v>
      </c>
      <c r="E245" s="2" t="n">
        <f aca="false">ROUND(VALUE(SUBSTITUTE(TRIM('Raw Data'!M245),"$","")),2)</f>
        <v>527.4</v>
      </c>
      <c r="F245" s="2" t="n">
        <f aca="false">IF('Raw Data'!O245="",0,'Raw Data'!O245)</f>
        <v>0.2</v>
      </c>
      <c r="G245" s="2" t="n">
        <f aca="false">ROUND('Raw Data'!P245,2)</f>
        <v>69.49</v>
      </c>
      <c r="H245" s="2" t="str">
        <f aca="false">IF('Raw Data'!S245="","Medium",'Raw Data'!S245)</f>
        <v>Low</v>
      </c>
      <c r="I245" s="2" t="str">
        <f aca="false">IF(E245&lt;100,"Small",IF(E245&lt;500,"Medium",IF(E245&lt;1500,"Large","Very Large")))</f>
        <v>Large</v>
      </c>
    </row>
    <row r="246" customFormat="false" ht="15" hidden="false" customHeight="false" outlineLevel="0" collapsed="false">
      <c r="A246" s="2" t="str">
        <f aca="false">'Raw Data'!A246</f>
        <v>ORD-10814</v>
      </c>
      <c r="B246" s="3" t="n">
        <f aca="false">IFERROR(DATEVALUE('Raw Data'!B246),"Check Format")</f>
        <v>46015</v>
      </c>
      <c r="C246" s="2" t="str">
        <f aca="false">IF('Raw Data'!E246="",IFERROR(INDEX('Raw Data'!$E$2:$E$501,MATCH('Raw Data'!D246,'Raw Data'!$D$2:$D$501,0)),"Unknown Customer"),'Raw Data'!E246)</f>
        <v>Courtney Smith</v>
      </c>
      <c r="D246" s="2" t="str">
        <f aca="false">PROPER(TRIM('Raw Data'!G246))</f>
        <v>Portland</v>
      </c>
      <c r="E246" s="2" t="n">
        <f aca="false">ROUND(VALUE(SUBSTITUTE(TRIM('Raw Data'!M246),"$","")),2)</f>
        <v>1100.43</v>
      </c>
      <c r="F246" s="2" t="n">
        <f aca="false">IF('Raw Data'!O246="",0,'Raw Data'!O246)</f>
        <v>0.3</v>
      </c>
      <c r="G246" s="2" t="n">
        <f aca="false">ROUND('Raw Data'!P246,2)</f>
        <v>98.56</v>
      </c>
      <c r="H246" s="2" t="str">
        <f aca="false">IF('Raw Data'!S246="","Medium",'Raw Data'!S246)</f>
        <v>Medium</v>
      </c>
      <c r="I246" s="2" t="str">
        <f aca="false">IF(E246&lt;100,"Small",IF(E246&lt;500,"Medium",IF(E246&lt;1500,"Large","Very Large")))</f>
        <v>Large</v>
      </c>
    </row>
    <row r="247" customFormat="false" ht="15" hidden="false" customHeight="false" outlineLevel="0" collapsed="false">
      <c r="A247" s="2" t="str">
        <f aca="false">'Raw Data'!A247</f>
        <v>ORD-15698</v>
      </c>
      <c r="B247" s="3" t="n">
        <f aca="false">IFERROR(DATEVALUE('Raw Data'!B247),"Check Format")</f>
        <v>45529</v>
      </c>
      <c r="C247" s="2" t="str">
        <f aca="false">IF('Raw Data'!E247="",IFERROR(INDEX('Raw Data'!$E$2:$E$501,MATCH('Raw Data'!D247,'Raw Data'!$D$2:$D$501,0)),"Unknown Customer"),'Raw Data'!E247)</f>
        <v>Amy Martinez</v>
      </c>
      <c r="D247" s="2" t="str">
        <f aca="false">PROPER(TRIM('Raw Data'!G247))</f>
        <v>Louisville</v>
      </c>
      <c r="E247" s="2" t="n">
        <f aca="false">ROUND(VALUE(SUBSTITUTE(TRIM('Raw Data'!M247),"$","")),2)</f>
        <v>2521.7</v>
      </c>
      <c r="F247" s="2" t="n">
        <f aca="false">IF('Raw Data'!O247="",0,'Raw Data'!O247)</f>
        <v>0.4</v>
      </c>
      <c r="G247" s="2" t="n">
        <f aca="false">ROUND('Raw Data'!P247,2)</f>
        <v>-47.3</v>
      </c>
      <c r="H247" s="2" t="str">
        <f aca="false">IF('Raw Data'!S247="","Medium",'Raw Data'!S247)</f>
        <v>High</v>
      </c>
      <c r="I247" s="2" t="str">
        <f aca="false">IF(E247&lt;100,"Small",IF(E247&lt;500,"Medium",IF(E247&lt;1500,"Large","Very Large")))</f>
        <v>Very Large</v>
      </c>
    </row>
    <row r="248" customFormat="false" ht="15" hidden="false" customHeight="false" outlineLevel="0" collapsed="false">
      <c r="A248" s="2" t="str">
        <f aca="false">'Raw Data'!A248</f>
        <v>ORD-8743</v>
      </c>
      <c r="B248" s="2" t="str">
        <f aca="false">IFERROR(DATEVALUE('Raw Data'!B248),"Check Format")</f>
        <v>Check Format</v>
      </c>
      <c r="C248" s="2" t="str">
        <f aca="false">IF('Raw Data'!E248="",IFERROR(INDEX('Raw Data'!$E$2:$E$501,MATCH('Raw Data'!D248,'Raw Data'!$D$2:$D$501,0)),"Unknown Customer"),'Raw Data'!E248)</f>
        <v>Evelyn Martinez</v>
      </c>
      <c r="D248" s="2" t="str">
        <f aca="false">PROPER(TRIM('Raw Data'!G248))</f>
        <v>Minneapolis</v>
      </c>
      <c r="E248" s="2" t="n">
        <f aca="false">ROUND(VALUE(SUBSTITUTE(TRIM('Raw Data'!M248),"$","")),2)</f>
        <v>3360.21</v>
      </c>
      <c r="F248" s="2" t="n">
        <f aca="false">IF('Raw Data'!O248="",0,'Raw Data'!O248)</f>
        <v>0.3</v>
      </c>
      <c r="G248" s="2" t="n">
        <f aca="false">ROUND('Raw Data'!P248,2)</f>
        <v>32.62</v>
      </c>
      <c r="H248" s="2" t="str">
        <f aca="false">IF('Raw Data'!S248="","Medium",'Raw Data'!S248)</f>
        <v>Medium</v>
      </c>
      <c r="I248" s="2" t="str">
        <f aca="false">IF(E248&lt;100,"Small",IF(E248&lt;500,"Medium",IF(E248&lt;1500,"Large","Very Large")))</f>
        <v>Very Large</v>
      </c>
    </row>
    <row r="249" customFormat="false" ht="15" hidden="false" customHeight="false" outlineLevel="0" collapsed="false">
      <c r="A249" s="2" t="str">
        <f aca="false">'Raw Data'!A249</f>
        <v>ORD-14881</v>
      </c>
      <c r="B249" s="2" t="str">
        <f aca="false">IFERROR(DATEVALUE('Raw Data'!B249),"Check Format")</f>
        <v>Check Format</v>
      </c>
      <c r="C249" s="2" t="str">
        <f aca="false">IF('Raw Data'!E249="",IFERROR(INDEX('Raw Data'!$E$2:$E$501,MATCH('Raw Data'!D249,'Raw Data'!$D$2:$D$501,0)),"Unknown Customer"),'Raw Data'!E249)</f>
        <v>Diane Mcdowell</v>
      </c>
      <c r="D249" s="2" t="str">
        <f aca="false">PROPER(TRIM('Raw Data'!G249))</f>
        <v>Jersey City</v>
      </c>
      <c r="E249" s="2" t="n">
        <f aca="false">ROUND(VALUE(SUBSTITUTE(TRIM('Raw Data'!M249),"$","")),2)</f>
        <v>4348.6</v>
      </c>
      <c r="F249" s="2" t="n">
        <f aca="false">IF('Raw Data'!O249="",0,'Raw Data'!O249)</f>
        <v>0.1</v>
      </c>
      <c r="G249" s="2" t="n">
        <f aca="false">ROUND('Raw Data'!P249,2)</f>
        <v>1203.83</v>
      </c>
      <c r="H249" s="2" t="str">
        <f aca="false">IF('Raw Data'!S249="","Medium",'Raw Data'!S249)</f>
        <v>Low</v>
      </c>
      <c r="I249" s="2" t="str">
        <f aca="false">IF(E249&lt;100,"Small",IF(E249&lt;500,"Medium",IF(E249&lt;1500,"Large","Very Large")))</f>
        <v>Very Large</v>
      </c>
    </row>
    <row r="250" customFormat="false" ht="15" hidden="false" customHeight="false" outlineLevel="0" collapsed="false">
      <c r="A250" s="2" t="str">
        <f aca="false">'Raw Data'!A250</f>
        <v>ORD-4019</v>
      </c>
      <c r="B250" s="3" t="n">
        <f aca="false">IFERROR(DATEVALUE('Raw Data'!B250),"Check Format")</f>
        <v>45728</v>
      </c>
      <c r="C250" s="2" t="str">
        <f aca="false">IF('Raw Data'!E250="",IFERROR(INDEX('Raw Data'!$E$2:$E$501,MATCH('Raw Data'!D250,'Raw Data'!$D$2:$D$501,0)),"Unknown Customer"),'Raw Data'!E250)</f>
        <v>Kathryn Williams</v>
      </c>
      <c r="D250" s="2" t="str">
        <f aca="false">PROPER(TRIM('Raw Data'!G250))</f>
        <v>Orlando</v>
      </c>
      <c r="E250" s="2" t="n">
        <f aca="false">ROUND(VALUE(SUBSTITUTE(TRIM('Raw Data'!M250),"$","")),2)</f>
        <v>117.04</v>
      </c>
      <c r="F250" s="2" t="n">
        <f aca="false">IF('Raw Data'!O250="",0,'Raw Data'!O250)</f>
        <v>0.4</v>
      </c>
      <c r="G250" s="2" t="n">
        <f aca="false">ROUND('Raw Data'!P250,2)</f>
        <v>-9.48</v>
      </c>
      <c r="H250" s="2" t="str">
        <f aca="false">IF('Raw Data'!S250="","Medium",'Raw Data'!S250)</f>
        <v>Critical</v>
      </c>
      <c r="I250" s="2" t="str">
        <f aca="false">IF(E250&lt;100,"Small",IF(E250&lt;500,"Medium",IF(E250&lt;1500,"Large","Very Large")))</f>
        <v>Medium</v>
      </c>
    </row>
    <row r="251" customFormat="false" ht="15" hidden="false" customHeight="false" outlineLevel="0" collapsed="false">
      <c r="A251" s="2" t="str">
        <f aca="false">'Raw Data'!A251</f>
        <v>ORD-8827</v>
      </c>
      <c r="B251" s="3" t="n">
        <f aca="false">IFERROR(DATEVALUE('Raw Data'!B251),"Check Format")</f>
        <v>45835</v>
      </c>
      <c r="C251" s="2" t="str">
        <f aca="false">IF('Raw Data'!E251="",IFERROR(INDEX('Raw Data'!$E$2:$E$501,MATCH('Raw Data'!D251,'Raw Data'!$D$2:$D$501,0)),"Unknown Customer"),'Raw Data'!E251)</f>
        <v>Amy Gordon</v>
      </c>
      <c r="D251" s="2" t="str">
        <f aca="false">PROPER(TRIM('Raw Data'!G251))</f>
        <v>New Orleans</v>
      </c>
      <c r="E251" s="2" t="n">
        <f aca="false">ROUND(VALUE(SUBSTITUTE(TRIM('Raw Data'!M251),"$","")),2)</f>
        <v>90.12</v>
      </c>
      <c r="F251" s="2" t="n">
        <f aca="false">IF('Raw Data'!O251="",0,'Raw Data'!O251)</f>
        <v>0.15</v>
      </c>
      <c r="G251" s="2" t="n">
        <f aca="false">ROUND('Raw Data'!P251,2)</f>
        <v>13.08</v>
      </c>
      <c r="H251" s="2" t="str">
        <f aca="false">IF('Raw Data'!S251="","Medium",'Raw Data'!S251)</f>
        <v>Critical</v>
      </c>
      <c r="I251" s="2" t="str">
        <f aca="false">IF(E251&lt;100,"Small",IF(E251&lt;500,"Medium",IF(E251&lt;1500,"Large","Very Large")))</f>
        <v>Small</v>
      </c>
    </row>
    <row r="252" customFormat="false" ht="15" hidden="false" customHeight="false" outlineLevel="0" collapsed="false">
      <c r="A252" s="2" t="str">
        <f aca="false">'Raw Data'!A252</f>
        <v>ORD-17933</v>
      </c>
      <c r="B252" s="3" t="n">
        <f aca="false">IFERROR(DATEVALUE('Raw Data'!B252),"Check Format")</f>
        <v>45874</v>
      </c>
      <c r="C252" s="2" t="str">
        <f aca="false">IF('Raw Data'!E252="",IFERROR(INDEX('Raw Data'!$E$2:$E$501,MATCH('Raw Data'!D252,'Raw Data'!$D$2:$D$501,0)),"Unknown Customer"),'Raw Data'!E252)</f>
        <v>Zachary Mitchell</v>
      </c>
      <c r="D252" s="2" t="str">
        <f aca="false">PROPER(TRIM('Raw Data'!G252))</f>
        <v>Atlanta</v>
      </c>
      <c r="E252" s="2" t="n">
        <f aca="false">ROUND(VALUE(SUBSTITUTE(TRIM('Raw Data'!M252),"$","")),2)</f>
        <v>330.1</v>
      </c>
      <c r="F252" s="2" t="n">
        <f aca="false">IF('Raw Data'!O252="",0,'Raw Data'!O252)</f>
        <v>0</v>
      </c>
      <c r="G252" s="2" t="n">
        <f aca="false">ROUND('Raw Data'!P252,2)</f>
        <v>51.6</v>
      </c>
      <c r="H252" s="2" t="str">
        <f aca="false">IF('Raw Data'!S252="","Medium",'Raw Data'!S252)</f>
        <v>Critical</v>
      </c>
      <c r="I252" s="2" t="str">
        <f aca="false">IF(E252&lt;100,"Small",IF(E252&lt;500,"Medium",IF(E252&lt;1500,"Large","Very Large")))</f>
        <v>Medium</v>
      </c>
    </row>
    <row r="253" customFormat="false" ht="15" hidden="false" customHeight="false" outlineLevel="0" collapsed="false">
      <c r="A253" s="2" t="str">
        <f aca="false">'Raw Data'!A253</f>
        <v>ORD-3217</v>
      </c>
      <c r="B253" s="2" t="str">
        <f aca="false">IFERROR(DATEVALUE('Raw Data'!B253),"Check Format")</f>
        <v>Check Format</v>
      </c>
      <c r="C253" s="2" t="str">
        <f aca="false">IF('Raw Data'!E253="",IFERROR(INDEX('Raw Data'!$E$2:$E$501,MATCH('Raw Data'!D253,'Raw Data'!$D$2:$D$501,0)),"Unknown Customer"),'Raw Data'!E253)</f>
        <v>Diana May</v>
      </c>
      <c r="D253" s="2" t="str">
        <f aca="false">PROPER(TRIM('Raw Data'!G253))</f>
        <v>Baton Rouge</v>
      </c>
      <c r="E253" s="2" t="n">
        <f aca="false">ROUND(VALUE(SUBSTITUTE(TRIM('Raw Data'!M253),"$","")),2)</f>
        <v>1197.88</v>
      </c>
      <c r="F253" s="2" t="n">
        <f aca="false">IF('Raw Data'!O253="",0,'Raw Data'!O253)</f>
        <v>0.1</v>
      </c>
      <c r="G253" s="2" t="n">
        <f aca="false">ROUND('Raw Data'!P253,2)</f>
        <v>412.1</v>
      </c>
      <c r="H253" s="2" t="str">
        <f aca="false">IF('Raw Data'!S253="","Medium",'Raw Data'!S253)</f>
        <v>Medium</v>
      </c>
      <c r="I253" s="2" t="str">
        <f aca="false">IF(E253&lt;100,"Small",IF(E253&lt;500,"Medium",IF(E253&lt;1500,"Large","Very Large")))</f>
        <v>Large</v>
      </c>
    </row>
    <row r="254" customFormat="false" ht="15" hidden="false" customHeight="false" outlineLevel="0" collapsed="false">
      <c r="A254" s="2" t="str">
        <f aca="false">'Raw Data'!A254</f>
        <v>ORD-8796</v>
      </c>
      <c r="B254" s="3" t="n">
        <f aca="false">IFERROR(DATEVALUE('Raw Data'!B254),"Check Format")</f>
        <v>45718</v>
      </c>
      <c r="C254" s="2" t="str">
        <f aca="false">IF('Raw Data'!E254="",IFERROR(INDEX('Raw Data'!$E$2:$E$501,MATCH('Raw Data'!D254,'Raw Data'!$D$2:$D$501,0)),"Unknown Customer"),'Raw Data'!E254)</f>
        <v>Robert Arnold</v>
      </c>
      <c r="D254" s="2" t="str">
        <f aca="false">PROPER(TRIM('Raw Data'!G254))</f>
        <v>Atlanta</v>
      </c>
      <c r="E254" s="2" t="n">
        <f aca="false">ROUND(VALUE(SUBSTITUTE(TRIM('Raw Data'!M254),"$","")),2)</f>
        <v>8.16</v>
      </c>
      <c r="F254" s="2" t="n">
        <f aca="false">IF('Raw Data'!O254="",0,'Raw Data'!O254)</f>
        <v>0</v>
      </c>
      <c r="G254" s="2" t="n">
        <f aca="false">ROUND('Raw Data'!P254,2)</f>
        <v>1.99</v>
      </c>
      <c r="H254" s="2" t="str">
        <f aca="false">IF('Raw Data'!S254="","Medium",'Raw Data'!S254)</f>
        <v>Critical</v>
      </c>
      <c r="I254" s="2" t="str">
        <f aca="false">IF(E254&lt;100,"Small",IF(E254&lt;500,"Medium",IF(E254&lt;1500,"Large","Very Large")))</f>
        <v>Small</v>
      </c>
    </row>
    <row r="255" customFormat="false" ht="15" hidden="false" customHeight="false" outlineLevel="0" collapsed="false">
      <c r="A255" s="2" t="str">
        <f aca="false">'Raw Data'!A255</f>
        <v>ORD-5025</v>
      </c>
      <c r="B255" s="2" t="str">
        <f aca="false">IFERROR(DATEVALUE('Raw Data'!B255),"Check Format")</f>
        <v>Check Format</v>
      </c>
      <c r="C255" s="2" t="str">
        <f aca="false">IF('Raw Data'!E255="",IFERROR(INDEX('Raw Data'!$E$2:$E$501,MATCH('Raw Data'!D255,'Raw Data'!$D$2:$D$501,0)),"Unknown Customer"),'Raw Data'!E255)</f>
        <v>Nicole Richards</v>
      </c>
      <c r="D255" s="2" t="str">
        <f aca="false">PROPER(TRIM('Raw Data'!G255))</f>
        <v>Lexington</v>
      </c>
      <c r="E255" s="2" t="n">
        <f aca="false">ROUND(VALUE(SUBSTITUTE(TRIM('Raw Data'!M255),"$","")),2)</f>
        <v>713.88</v>
      </c>
      <c r="F255" s="2" t="n">
        <f aca="false">IF('Raw Data'!O255="",0,'Raw Data'!O255)</f>
        <v>0.3</v>
      </c>
      <c r="G255" s="2" t="n">
        <f aca="false">ROUND('Raw Data'!P255,2)</f>
        <v>105.71</v>
      </c>
      <c r="H255" s="2" t="str">
        <f aca="false">IF('Raw Data'!S255="","Medium",'Raw Data'!S255)</f>
        <v>Low</v>
      </c>
      <c r="I255" s="2" t="str">
        <f aca="false">IF(E255&lt;100,"Small",IF(E255&lt;500,"Medium",IF(E255&lt;1500,"Large","Very Large")))</f>
        <v>Large</v>
      </c>
    </row>
    <row r="256" customFormat="false" ht="15" hidden="false" customHeight="false" outlineLevel="0" collapsed="false">
      <c r="A256" s="2" t="str">
        <f aca="false">'Raw Data'!A256</f>
        <v>ORD-17772</v>
      </c>
      <c r="B256" s="2" t="str">
        <f aca="false">IFERROR(DATEVALUE('Raw Data'!B256),"Check Format")</f>
        <v>Check Format</v>
      </c>
      <c r="C256" s="2" t="str">
        <f aca="false">IF('Raw Data'!E256="",IFERROR(INDEX('Raw Data'!$E$2:$E$501,MATCH('Raw Data'!D256,'Raw Data'!$D$2:$D$501,0)),"Unknown Customer"),'Raw Data'!E256)</f>
        <v>Michael Henry</v>
      </c>
      <c r="D256" s="2" t="str">
        <f aca="false">PROPER(TRIM('Raw Data'!G256))</f>
        <v>San Diego</v>
      </c>
      <c r="E256" s="2" t="n">
        <f aca="false">ROUND(VALUE(SUBSTITUTE(TRIM('Raw Data'!M256),"$","")),2)</f>
        <v>139.75</v>
      </c>
      <c r="F256" s="2" t="n">
        <f aca="false">IF('Raw Data'!O256="",0,'Raw Data'!O256)</f>
        <v>0.2</v>
      </c>
      <c r="G256" s="2" t="n">
        <f aca="false">ROUND('Raw Data'!P256,2)</f>
        <v>20.49</v>
      </c>
      <c r="H256" s="2" t="str">
        <f aca="false">IF('Raw Data'!S256="","Medium",'Raw Data'!S256)</f>
        <v>Critical</v>
      </c>
      <c r="I256" s="2" t="str">
        <f aca="false">IF(E256&lt;100,"Small",IF(E256&lt;500,"Medium",IF(E256&lt;1500,"Large","Very Large")))</f>
        <v>Medium</v>
      </c>
    </row>
    <row r="257" customFormat="false" ht="15" hidden="false" customHeight="false" outlineLevel="0" collapsed="false">
      <c r="A257" s="2" t="str">
        <f aca="false">'Raw Data'!A257</f>
        <v>ORD-8044</v>
      </c>
      <c r="B257" s="3" t="n">
        <f aca="false">IFERROR(DATEVALUE('Raw Data'!B257),"Check Format")</f>
        <v>45432</v>
      </c>
      <c r="C257" s="2" t="str">
        <f aca="false">IF('Raw Data'!E257="",IFERROR(INDEX('Raw Data'!$E$2:$E$501,MATCH('Raw Data'!D257,'Raw Data'!$D$2:$D$501,0)),"Unknown Customer"),'Raw Data'!E257)</f>
        <v>Jose Ramirez</v>
      </c>
      <c r="D257" s="2" t="str">
        <f aca="false">PROPER(TRIM('Raw Data'!G257))</f>
        <v>Detroit</v>
      </c>
      <c r="E257" s="2" t="n">
        <f aca="false">ROUND(VALUE(SUBSTITUTE(TRIM('Raw Data'!M257),"$","")),2)</f>
        <v>43.26</v>
      </c>
      <c r="F257" s="2" t="n">
        <f aca="false">IF('Raw Data'!O257="",0,'Raw Data'!O257)</f>
        <v>0.3</v>
      </c>
      <c r="G257" s="2" t="n">
        <f aca="false">ROUND('Raw Data'!P257,2)</f>
        <v>-2.68</v>
      </c>
      <c r="H257" s="2" t="str">
        <f aca="false">IF('Raw Data'!S257="","Medium",'Raw Data'!S257)</f>
        <v>Critical</v>
      </c>
      <c r="I257" s="2" t="str">
        <f aca="false">IF(E257&lt;100,"Small",IF(E257&lt;500,"Medium",IF(E257&lt;1500,"Large","Very Large")))</f>
        <v>Small</v>
      </c>
    </row>
    <row r="258" customFormat="false" ht="15" hidden="false" customHeight="false" outlineLevel="0" collapsed="false">
      <c r="A258" s="2" t="str">
        <f aca="false">'Raw Data'!A258</f>
        <v>ORD-6521</v>
      </c>
      <c r="B258" s="3" t="n">
        <f aca="false">IFERROR(DATEVALUE('Raw Data'!B258),"Check Format")</f>
        <v>45234</v>
      </c>
      <c r="C258" s="2" t="str">
        <f aca="false">IF('Raw Data'!E258="",IFERROR(INDEX('Raw Data'!$E$2:$E$501,MATCH('Raw Data'!D258,'Raw Data'!$D$2:$D$501,0)),"Unknown Customer"),'Raw Data'!E258)</f>
        <v>Tiffany Jackson</v>
      </c>
      <c r="D258" s="2" t="str">
        <f aca="false">PROPER(TRIM('Raw Data'!G258))</f>
        <v/>
      </c>
      <c r="E258" s="2" t="n">
        <f aca="false">ROUND(VALUE(SUBSTITUTE(TRIM('Raw Data'!M258),"$","")),2)</f>
        <v>35.9</v>
      </c>
      <c r="F258" s="2" t="n">
        <f aca="false">IF('Raw Data'!O258="",0,'Raw Data'!O258)</f>
        <v>0</v>
      </c>
      <c r="G258" s="2" t="n">
        <f aca="false">ROUND('Raw Data'!P258,2)</f>
        <v>13.39</v>
      </c>
      <c r="H258" s="2" t="str">
        <f aca="false">IF('Raw Data'!S258="","Medium",'Raw Data'!S258)</f>
        <v>High</v>
      </c>
      <c r="I258" s="2" t="str">
        <f aca="false">IF(E258&lt;100,"Small",IF(E258&lt;500,"Medium",IF(E258&lt;1500,"Large","Very Large")))</f>
        <v>Small</v>
      </c>
    </row>
    <row r="259" customFormat="false" ht="15" hidden="false" customHeight="false" outlineLevel="0" collapsed="false">
      <c r="A259" s="2" t="str">
        <f aca="false">'Raw Data'!A259</f>
        <v>ORD-6140</v>
      </c>
      <c r="B259" s="2" t="str">
        <f aca="false">IFERROR(DATEVALUE('Raw Data'!B259),"Check Format")</f>
        <v>Check Format</v>
      </c>
      <c r="C259" s="2" t="str">
        <f aca="false">IF('Raw Data'!E259="",IFERROR(INDEX('Raw Data'!$E$2:$E$501,MATCH('Raw Data'!D259,'Raw Data'!$D$2:$D$501,0)),"Unknown Customer"),'Raw Data'!E259)</f>
        <v>Carmen Preston</v>
      </c>
      <c r="D259" s="2" t="str">
        <f aca="false">PROPER(TRIM('Raw Data'!G259))</f>
        <v>Boulder</v>
      </c>
      <c r="E259" s="2" t="n">
        <f aca="false">ROUND(VALUE(SUBSTITUTE(TRIM('Raw Data'!M259),"$","")),2)</f>
        <v>47.74</v>
      </c>
      <c r="F259" s="2" t="n">
        <f aca="false">IF('Raw Data'!O259="",0,'Raw Data'!O259)</f>
        <v>0</v>
      </c>
      <c r="G259" s="2" t="n">
        <f aca="false">ROUND('Raw Data'!P259,2)</f>
        <v>14.48</v>
      </c>
      <c r="H259" s="2" t="str">
        <f aca="false">IF('Raw Data'!S259="","Medium",'Raw Data'!S259)</f>
        <v>Critical</v>
      </c>
      <c r="I259" s="2" t="str">
        <f aca="false">IF(E259&lt;100,"Small",IF(E259&lt;500,"Medium",IF(E259&lt;1500,"Large","Very Large")))</f>
        <v>Small</v>
      </c>
    </row>
    <row r="260" customFormat="false" ht="15" hidden="false" customHeight="false" outlineLevel="0" collapsed="false">
      <c r="A260" s="2" t="str">
        <f aca="false">'Raw Data'!A260</f>
        <v>ORD-10901</v>
      </c>
      <c r="B260" s="3" t="n">
        <f aca="false">IFERROR(DATEVALUE('Raw Data'!B260),"Check Format")</f>
        <v>45618</v>
      </c>
      <c r="C260" s="2" t="str">
        <f aca="false">IF('Raw Data'!E260="",IFERROR(INDEX('Raw Data'!$E$2:$E$501,MATCH('Raw Data'!D260,'Raw Data'!$D$2:$D$501,0)),"Unknown Customer"),'Raw Data'!E260)</f>
        <v>Cassandra Harrell</v>
      </c>
      <c r="D260" s="2" t="str">
        <f aca="false">PROPER(TRIM('Raw Data'!G260))</f>
        <v>Atlanta</v>
      </c>
      <c r="E260" s="2" t="n">
        <f aca="false">ROUND(VALUE(SUBSTITUTE(TRIM('Raw Data'!M260),"$","")),2)</f>
        <v>2772</v>
      </c>
      <c r="F260" s="2" t="n">
        <f aca="false">IF('Raw Data'!O260="",0,'Raw Data'!O260)</f>
        <v>0.15</v>
      </c>
      <c r="G260" s="2" t="n">
        <f aca="false">ROUND('Raw Data'!P260,2)</f>
        <v>17.75</v>
      </c>
      <c r="H260" s="2" t="str">
        <f aca="false">IF('Raw Data'!S260="","Medium",'Raw Data'!S260)</f>
        <v>High</v>
      </c>
      <c r="I260" s="2" t="str">
        <f aca="false">IF(E260&lt;100,"Small",IF(E260&lt;500,"Medium",IF(E260&lt;1500,"Large","Very Large")))</f>
        <v>Very Large</v>
      </c>
    </row>
    <row r="261" customFormat="false" ht="15" hidden="false" customHeight="false" outlineLevel="0" collapsed="false">
      <c r="A261" s="2" t="str">
        <f aca="false">'Raw Data'!A261</f>
        <v>ORD-6411</v>
      </c>
      <c r="B261" s="2" t="str">
        <f aca="false">IFERROR(DATEVALUE('Raw Data'!B261),"Check Format")</f>
        <v>Check Format</v>
      </c>
      <c r="C261" s="2" t="str">
        <f aca="false">IF('Raw Data'!E261="",IFERROR(INDEX('Raw Data'!$E$2:$E$501,MATCH('Raw Data'!D261,'Raw Data'!$D$2:$D$501,0)),"Unknown Customer"),'Raw Data'!E261)</f>
        <v>Manuel Brock</v>
      </c>
      <c r="D261" s="2" t="str">
        <f aca="false">PROPER(TRIM('Raw Data'!G261))</f>
        <v>Tucson</v>
      </c>
      <c r="E261" s="2" t="n">
        <f aca="false">ROUND(VALUE(SUBSTITUTE(TRIM('Raw Data'!M261),"$","")),2)</f>
        <v>60.93</v>
      </c>
      <c r="F261" s="2" t="n">
        <f aca="false">IF('Raw Data'!O261="",0,'Raw Data'!O261)</f>
        <v>0.3</v>
      </c>
      <c r="G261" s="2" t="n">
        <f aca="false">ROUND('Raw Data'!P261,2)</f>
        <v>-3.72</v>
      </c>
      <c r="H261" s="2" t="str">
        <f aca="false">IF('Raw Data'!S261="","Medium",'Raw Data'!S261)</f>
        <v>Medium</v>
      </c>
      <c r="I261" s="2" t="str">
        <f aca="false">IF(E261&lt;100,"Small",IF(E261&lt;500,"Medium",IF(E261&lt;1500,"Large","Very Large")))</f>
        <v>Small</v>
      </c>
    </row>
    <row r="262" customFormat="false" ht="15" hidden="false" customHeight="false" outlineLevel="0" collapsed="false">
      <c r="A262" s="2" t="str">
        <f aca="false">'Raw Data'!A262</f>
        <v>ORD-17575</v>
      </c>
      <c r="B262" s="3" t="n">
        <f aca="false">IFERROR(DATEVALUE('Raw Data'!B262),"Check Format")</f>
        <v>45483</v>
      </c>
      <c r="C262" s="2" t="str">
        <f aca="false">IF('Raw Data'!E262="",IFERROR(INDEX('Raw Data'!$E$2:$E$501,MATCH('Raw Data'!D262,'Raw Data'!$D$2:$D$501,0)),"Unknown Customer"),'Raw Data'!E262)</f>
        <v>Amber Vang</v>
      </c>
      <c r="D262" s="2" t="str">
        <f aca="false">PROPER(TRIM('Raw Data'!G262))</f>
        <v>Columbus</v>
      </c>
      <c r="E262" s="2" t="n">
        <f aca="false">ROUND(VALUE(SUBSTITUTE(TRIM('Raw Data'!M262),"$","")),2)</f>
        <v>37.44</v>
      </c>
      <c r="F262" s="2" t="n">
        <f aca="false">IF('Raw Data'!O262="",0,'Raw Data'!O262)</f>
        <v>0</v>
      </c>
      <c r="G262" s="2" t="n">
        <f aca="false">ROUND('Raw Data'!P262,2)</f>
        <v>8.85</v>
      </c>
      <c r="H262" s="2" t="str">
        <f aca="false">IF('Raw Data'!S262="","Medium",'Raw Data'!S262)</f>
        <v>Medium</v>
      </c>
      <c r="I262" s="2" t="str">
        <f aca="false">IF(E262&lt;100,"Small",IF(E262&lt;500,"Medium",IF(E262&lt;1500,"Large","Very Large")))</f>
        <v>Small</v>
      </c>
    </row>
    <row r="263" customFormat="false" ht="15" hidden="false" customHeight="false" outlineLevel="0" collapsed="false">
      <c r="A263" s="2" t="str">
        <f aca="false">'Raw Data'!A263</f>
        <v>ORD-16652</v>
      </c>
      <c r="B263" s="3" t="n">
        <f aca="false">IFERROR(DATEVALUE('Raw Data'!B263),"Check Format")</f>
        <v>45691</v>
      </c>
      <c r="C263" s="2" t="str">
        <f aca="false">IF('Raw Data'!E263="",IFERROR(INDEX('Raw Data'!$E$2:$E$501,MATCH('Raw Data'!D263,'Raw Data'!$D$2:$D$501,0)),"Unknown Customer"),'Raw Data'!E263)</f>
        <v>William Gould</v>
      </c>
      <c r="D263" s="2" t="str">
        <f aca="false">PROPER(TRIM('Raw Data'!G263))</f>
        <v>Eugene</v>
      </c>
      <c r="E263" s="2" t="n">
        <f aca="false">ROUND(VALUE(SUBSTITUTE(TRIM('Raw Data'!M263),"$","")),2)</f>
        <v>4179.7</v>
      </c>
      <c r="F263" s="2" t="n">
        <f aca="false">IF('Raw Data'!O263="",0,'Raw Data'!O263)</f>
        <v>0.5</v>
      </c>
      <c r="G263" s="2" t="n">
        <f aca="false">ROUND('Raw Data'!P263,2)</f>
        <v>-941.3</v>
      </c>
      <c r="H263" s="2" t="str">
        <f aca="false">IF('Raw Data'!S263="","Medium",'Raw Data'!S263)</f>
        <v>Critical</v>
      </c>
      <c r="I263" s="2" t="str">
        <f aca="false">IF(E263&lt;100,"Small",IF(E263&lt;500,"Medium",IF(E263&lt;1500,"Large","Very Large")))</f>
        <v>Very Large</v>
      </c>
    </row>
    <row r="264" customFormat="false" ht="15" hidden="false" customHeight="false" outlineLevel="0" collapsed="false">
      <c r="A264" s="2" t="str">
        <f aca="false">'Raw Data'!A264</f>
        <v>ORD-15997</v>
      </c>
      <c r="B264" s="3" t="n">
        <f aca="false">IFERROR(DATEVALUE('Raw Data'!B264),"Check Format")</f>
        <v>45055</v>
      </c>
      <c r="C264" s="2" t="str">
        <f aca="false">IF('Raw Data'!E264="",IFERROR(INDEX('Raw Data'!$E$2:$E$501,MATCH('Raw Data'!D264,'Raw Data'!$D$2:$D$501,0)),"Unknown Customer"),'Raw Data'!E264)</f>
        <v>Bianca Wood</v>
      </c>
      <c r="D264" s="2" t="str">
        <f aca="false">PROPER(TRIM('Raw Data'!G264))</f>
        <v>Montgomery</v>
      </c>
      <c r="E264" s="2" t="n">
        <f aca="false">ROUND(VALUE(SUBSTITUTE(TRIM('Raw Data'!M264),"$","")),2)</f>
        <v>1099.98</v>
      </c>
      <c r="F264" s="2" t="n">
        <f aca="false">IF('Raw Data'!O264="",0,'Raw Data'!O264)</f>
        <v>0.4</v>
      </c>
      <c r="G264" s="2" t="n">
        <f aca="false">ROUND('Raw Data'!P264,2)</f>
        <v>-128.88</v>
      </c>
      <c r="H264" s="2" t="str">
        <f aca="false">IF('Raw Data'!S264="","Medium",'Raw Data'!S264)</f>
        <v>High</v>
      </c>
      <c r="I264" s="2" t="str">
        <f aca="false">IF(E264&lt;100,"Small",IF(E264&lt;500,"Medium",IF(E264&lt;1500,"Large","Very Large")))</f>
        <v>Large</v>
      </c>
    </row>
    <row r="265" customFormat="false" ht="15" hidden="false" customHeight="false" outlineLevel="0" collapsed="false">
      <c r="A265" s="2" t="str">
        <f aca="false">'Raw Data'!A265</f>
        <v>ORD-7146</v>
      </c>
      <c r="B265" s="2" t="str">
        <f aca="false">IFERROR(DATEVALUE('Raw Data'!B265),"Check Format")</f>
        <v>Check Format</v>
      </c>
      <c r="C265" s="2" t="str">
        <f aca="false">IF('Raw Data'!E265="",IFERROR(INDEX('Raw Data'!$E$2:$E$501,MATCH('Raw Data'!D265,'Raw Data'!$D$2:$D$501,0)),"Unknown Customer"),'Raw Data'!E265)</f>
        <v>Eric Henry Jr.</v>
      </c>
      <c r="D265" s="2" t="str">
        <f aca="false">PROPER(TRIM('Raw Data'!G265))</f>
        <v>Detroit</v>
      </c>
      <c r="E265" s="2" t="n">
        <f aca="false">ROUND(VALUE(SUBSTITUTE(TRIM('Raw Data'!M265),"$","")),2)</f>
        <v>177.12</v>
      </c>
      <c r="F265" s="2" t="n">
        <f aca="false">IF('Raw Data'!O265="",0,'Raw Data'!O265)</f>
        <v>0.2</v>
      </c>
      <c r="G265" s="2" t="n">
        <f aca="false">ROUND('Raw Data'!P265,2)</f>
        <v>15.64</v>
      </c>
      <c r="H265" s="2" t="str">
        <f aca="false">IF('Raw Data'!S265="","Medium",'Raw Data'!S265)</f>
        <v>Critical</v>
      </c>
      <c r="I265" s="2" t="str">
        <f aca="false">IF(E265&lt;100,"Small",IF(E265&lt;500,"Medium",IF(E265&lt;1500,"Large","Very Large")))</f>
        <v>Medium</v>
      </c>
    </row>
    <row r="266" customFormat="false" ht="15" hidden="false" customHeight="false" outlineLevel="0" collapsed="false">
      <c r="A266" s="2" t="str">
        <f aca="false">'Raw Data'!A266</f>
        <v>ORD-17700</v>
      </c>
      <c r="B266" s="3" t="n">
        <f aca="false">IFERROR(DATEVALUE('Raw Data'!B266),"Check Format")</f>
        <v>45352</v>
      </c>
      <c r="C266" s="2" t="str">
        <f aca="false">IF('Raw Data'!E266="",IFERROR(INDEX('Raw Data'!$E$2:$E$501,MATCH('Raw Data'!D266,'Raw Data'!$D$2:$D$501,0)),"Unknown Customer"),'Raw Data'!E266)</f>
        <v>Elizabeth Dean</v>
      </c>
      <c r="D266" s="2" t="str">
        <f aca="false">PROPER(TRIM('Raw Data'!G266))</f>
        <v>Denver</v>
      </c>
      <c r="E266" s="2" t="n">
        <f aca="false">ROUND(VALUE(SUBSTITUTE(TRIM('Raw Data'!M266),"$","")),2)</f>
        <v>303.72</v>
      </c>
      <c r="F266" s="2" t="n">
        <f aca="false">IF('Raw Data'!O266="",0,'Raw Data'!O266)</f>
        <v>0.15</v>
      </c>
      <c r="G266" s="2" t="n">
        <f aca="false">ROUND('Raw Data'!P266,2)</f>
        <v>73</v>
      </c>
      <c r="H266" s="2" t="str">
        <f aca="false">IF('Raw Data'!S266="","Medium",'Raw Data'!S266)</f>
        <v>Low</v>
      </c>
      <c r="I266" s="2" t="str">
        <f aca="false">IF(E266&lt;100,"Small",IF(E266&lt;500,"Medium",IF(E266&lt;1500,"Large","Very Large")))</f>
        <v>Medium</v>
      </c>
    </row>
    <row r="267" customFormat="false" ht="15" hidden="false" customHeight="false" outlineLevel="0" collapsed="false">
      <c r="A267" s="2" t="str">
        <f aca="false">'Raw Data'!A267</f>
        <v>ORD-3718</v>
      </c>
      <c r="B267" s="2" t="str">
        <f aca="false">IFERROR(DATEVALUE('Raw Data'!B267),"Check Format")</f>
        <v>Check Format</v>
      </c>
      <c r="C267" s="2" t="str">
        <f aca="false">IF('Raw Data'!E267="",IFERROR(INDEX('Raw Data'!$E$2:$E$501,MATCH('Raw Data'!D267,'Raw Data'!$D$2:$D$501,0)),"Unknown Customer"),'Raw Data'!E267)</f>
        <v>Danielle Bryant</v>
      </c>
      <c r="D267" s="2" t="str">
        <f aca="false">PROPER(TRIM('Raw Data'!G267))</f>
        <v>Detroit</v>
      </c>
      <c r="E267" s="2" t="n">
        <f aca="false">ROUND(VALUE(SUBSTITUTE(TRIM('Raw Data'!M267),"$","")),2)</f>
        <v>2830.86</v>
      </c>
      <c r="F267" s="2" t="n">
        <f aca="false">IF('Raw Data'!O267="",0,'Raw Data'!O267)</f>
        <v>0</v>
      </c>
      <c r="G267" s="2" t="n">
        <f aca="false">ROUND('Raw Data'!P267,2)</f>
        <v>899.07</v>
      </c>
      <c r="H267" s="2" t="str">
        <f aca="false">IF('Raw Data'!S267="","Medium",'Raw Data'!S267)</f>
        <v>Medium</v>
      </c>
      <c r="I267" s="2" t="str">
        <f aca="false">IF(E267&lt;100,"Small",IF(E267&lt;500,"Medium",IF(E267&lt;1500,"Large","Very Large")))</f>
        <v>Very Large</v>
      </c>
    </row>
    <row r="268" customFormat="false" ht="15" hidden="false" customHeight="false" outlineLevel="0" collapsed="false">
      <c r="A268" s="2" t="str">
        <f aca="false">'Raw Data'!A268</f>
        <v>ORD-13399</v>
      </c>
      <c r="B268" s="3" t="n">
        <f aca="false">IFERROR(DATEVALUE('Raw Data'!B268),"Check Format")</f>
        <v>45820</v>
      </c>
      <c r="C268" s="2" t="str">
        <f aca="false">IF('Raw Data'!E268="",IFERROR(INDEX('Raw Data'!$E$2:$E$501,MATCH('Raw Data'!D268,'Raw Data'!$D$2:$D$501,0)),"Unknown Customer"),'Raw Data'!E268)</f>
        <v>Michael Lopez</v>
      </c>
      <c r="D268" s="2" t="str">
        <f aca="false">PROPER(TRIM('Raw Data'!G268))</f>
        <v>Tampa</v>
      </c>
      <c r="E268" s="2" t="n">
        <f aca="false">ROUND(VALUE(SUBSTITUTE(TRIM('Raw Data'!M268),"$","")),2)</f>
        <v>2815.36</v>
      </c>
      <c r="F268" s="2" t="n">
        <f aca="false">IF('Raw Data'!O268="",0,'Raw Data'!O268)</f>
        <v>0</v>
      </c>
      <c r="G268" s="2" t="n">
        <f aca="false">ROUND('Raw Data'!P268,2)</f>
        <v>1199.02</v>
      </c>
      <c r="H268" s="2" t="str">
        <f aca="false">IF('Raw Data'!S268="","Medium",'Raw Data'!S268)</f>
        <v>Critical</v>
      </c>
      <c r="I268" s="2" t="str">
        <f aca="false">IF(E268&lt;100,"Small",IF(E268&lt;500,"Medium",IF(E268&lt;1500,"Large","Very Large")))</f>
        <v>Very Large</v>
      </c>
    </row>
    <row r="269" customFormat="false" ht="15" hidden="false" customHeight="false" outlineLevel="0" collapsed="false">
      <c r="A269" s="2" t="str">
        <f aca="false">'Raw Data'!A269</f>
        <v>ORD-4217</v>
      </c>
      <c r="B269" s="2" t="str">
        <f aca="false">IFERROR(DATEVALUE('Raw Data'!B269),"Check Format")</f>
        <v>Check Format</v>
      </c>
      <c r="C269" s="2" t="str">
        <f aca="false">IF('Raw Data'!E269="",IFERROR(INDEX('Raw Data'!$E$2:$E$501,MATCH('Raw Data'!D269,'Raw Data'!$D$2:$D$501,0)),"Unknown Customer"),'Raw Data'!E269)</f>
        <v>William Graham</v>
      </c>
      <c r="D269" s="2" t="str">
        <f aca="false">PROPER(TRIM('Raw Data'!G269))</f>
        <v>Nashville</v>
      </c>
      <c r="E269" s="2" t="n">
        <f aca="false">ROUND(VALUE(SUBSTITUTE(TRIM('Raw Data'!M269),"$","")),2)</f>
        <v>439.38</v>
      </c>
      <c r="F269" s="2" t="n">
        <f aca="false">IF('Raw Data'!O269="",0,'Raw Data'!O269)</f>
        <v>0.15</v>
      </c>
      <c r="G269" s="2" t="n">
        <f aca="false">ROUND('Raw Data'!P269,2)</f>
        <v>115.39</v>
      </c>
      <c r="H269" s="2" t="str">
        <f aca="false">IF('Raw Data'!S269="","Medium",'Raw Data'!S269)</f>
        <v>High</v>
      </c>
      <c r="I269" s="2" t="str">
        <f aca="false">IF(E269&lt;100,"Small",IF(E269&lt;500,"Medium",IF(E269&lt;1500,"Large","Very Large")))</f>
        <v>Medium</v>
      </c>
    </row>
    <row r="270" customFormat="false" ht="15" hidden="false" customHeight="false" outlineLevel="0" collapsed="false">
      <c r="A270" s="2" t="str">
        <f aca="false">'Raw Data'!A270</f>
        <v>ORD-10926</v>
      </c>
      <c r="B270" s="3" t="n">
        <f aca="false">IFERROR(DATEVALUE('Raw Data'!B270),"Check Format")</f>
        <v>45321</v>
      </c>
      <c r="C270" s="2" t="str">
        <f aca="false">IF('Raw Data'!E270="",IFERROR(INDEX('Raw Data'!$E$2:$E$501,MATCH('Raw Data'!D270,'Raw Data'!$D$2:$D$501,0)),"Unknown Customer"),'Raw Data'!E270)</f>
        <v>Kimberly Fritz</v>
      </c>
      <c r="D270" s="2" t="str">
        <f aca="false">PROPER(TRIM('Raw Data'!G270))</f>
        <v>Ann Arbor</v>
      </c>
      <c r="E270" s="2" t="n">
        <f aca="false">ROUND(VALUE(SUBSTITUTE(TRIM('Raw Data'!M270),"$","")),2)</f>
        <v>10337.9</v>
      </c>
      <c r="F270" s="2" t="n">
        <f aca="false">IF('Raw Data'!O270="",0,'Raw Data'!O270)</f>
        <v>0.3</v>
      </c>
      <c r="G270" s="2" t="n">
        <f aca="false">ROUND('Raw Data'!P270,2)</f>
        <v>300.75</v>
      </c>
      <c r="H270" s="2" t="str">
        <f aca="false">IF('Raw Data'!S270="","Medium",'Raw Data'!S270)</f>
        <v>Medium</v>
      </c>
      <c r="I270" s="2" t="str">
        <f aca="false">IF(E270&lt;100,"Small",IF(E270&lt;500,"Medium",IF(E270&lt;1500,"Large","Very Large")))</f>
        <v>Very Large</v>
      </c>
    </row>
    <row r="271" customFormat="false" ht="15" hidden="false" customHeight="false" outlineLevel="0" collapsed="false">
      <c r="A271" s="2" t="str">
        <f aca="false">'Raw Data'!A271</f>
        <v>ORD-14100</v>
      </c>
      <c r="B271" s="3" t="n">
        <f aca="false">IFERROR(DATEVALUE('Raw Data'!B271),"Check Format")</f>
        <v>45721</v>
      </c>
      <c r="C271" s="2" t="str">
        <f aca="false">IF('Raw Data'!E271="",IFERROR(INDEX('Raw Data'!$E$2:$E$501,MATCH('Raw Data'!D271,'Raw Data'!$D$2:$D$501,0)),"Unknown Customer"),'Raw Data'!E271)</f>
        <v>Scott Thomas</v>
      </c>
      <c r="D271" s="2" t="str">
        <f aca="false">PROPER(TRIM('Raw Data'!G271))</f>
        <v>St. Louis</v>
      </c>
      <c r="E271" s="2" t="n">
        <f aca="false">ROUND(VALUE(SUBSTITUTE(TRIM('Raw Data'!M271),"$","")),2)</f>
        <v>367.5</v>
      </c>
      <c r="F271" s="2" t="n">
        <f aca="false">IF('Raw Data'!O271="",0,'Raw Data'!O271)</f>
        <v>0.4</v>
      </c>
      <c r="G271" s="2" t="n">
        <f aca="false">ROUND('Raw Data'!P271,2)</f>
        <v>-75.89</v>
      </c>
      <c r="H271" s="2" t="str">
        <f aca="false">IF('Raw Data'!S271="","Medium",'Raw Data'!S271)</f>
        <v>Low</v>
      </c>
      <c r="I271" s="2" t="str">
        <f aca="false">IF(E271&lt;100,"Small",IF(E271&lt;500,"Medium",IF(E271&lt;1500,"Large","Very Large")))</f>
        <v>Medium</v>
      </c>
    </row>
    <row r="272" customFormat="false" ht="15" hidden="false" customHeight="false" outlineLevel="0" collapsed="false">
      <c r="A272" s="2" t="str">
        <f aca="false">'Raw Data'!A272</f>
        <v>ORD-11794</v>
      </c>
      <c r="B272" s="3" t="n">
        <f aca="false">IFERROR(DATEVALUE('Raw Data'!B272),"Check Format")</f>
        <v>45854</v>
      </c>
      <c r="C272" s="2" t="str">
        <f aca="false">IF('Raw Data'!E272="",IFERROR(INDEX('Raw Data'!$E$2:$E$501,MATCH('Raw Data'!D272,'Raw Data'!$D$2:$D$501,0)),"Unknown Customer"),'Raw Data'!E272)</f>
        <v>Carla Gray</v>
      </c>
      <c r="D272" s="2" t="str">
        <f aca="false">PROPER(TRIM('Raw Data'!G272))</f>
        <v>Atlanta</v>
      </c>
      <c r="E272" s="2" t="n">
        <f aca="false">ROUND(VALUE(SUBSTITUTE(TRIM('Raw Data'!M272),"$","")),2)</f>
        <v>2946.7</v>
      </c>
      <c r="F272" s="2" t="n">
        <f aca="false">IF('Raw Data'!O272="",0,'Raw Data'!O272)</f>
        <v>0.2</v>
      </c>
      <c r="G272" s="2" t="n">
        <f aca="false">ROUND('Raw Data'!P272,2)</f>
        <v>64.66</v>
      </c>
      <c r="H272" s="2" t="str">
        <f aca="false">IF('Raw Data'!S272="","Medium",'Raw Data'!S272)</f>
        <v>Low</v>
      </c>
      <c r="I272" s="2" t="str">
        <f aca="false">IF(E272&lt;100,"Small",IF(E272&lt;500,"Medium",IF(E272&lt;1500,"Large","Very Large")))</f>
        <v>Very Large</v>
      </c>
    </row>
    <row r="273" customFormat="false" ht="15" hidden="false" customHeight="false" outlineLevel="0" collapsed="false">
      <c r="A273" s="2" t="str">
        <f aca="false">'Raw Data'!A273</f>
        <v>ORD-4214</v>
      </c>
      <c r="B273" s="2" t="str">
        <f aca="false">IFERROR(DATEVALUE('Raw Data'!B273),"Check Format")</f>
        <v>Check Format</v>
      </c>
      <c r="C273" s="2" t="str">
        <f aca="false">IF('Raw Data'!E273="",IFERROR(INDEX('Raw Data'!$E$2:$E$501,MATCH('Raw Data'!D273,'Raw Data'!$D$2:$D$501,0)),"Unknown Customer"),'Raw Data'!E273)</f>
        <v>Angel May</v>
      </c>
      <c r="D273" s="2" t="str">
        <f aca="false">PROPER(TRIM('Raw Data'!G273))</f>
        <v>New Orleans</v>
      </c>
      <c r="E273" s="2" t="n">
        <f aca="false">ROUND(VALUE(SUBSTITUTE(TRIM('Raw Data'!M273),"$","")),2)</f>
        <v>6346.97</v>
      </c>
      <c r="F273" s="2" t="n">
        <f aca="false">IF('Raw Data'!O273="",0,'Raw Data'!O273)</f>
        <v>0</v>
      </c>
      <c r="G273" s="2" t="n">
        <f aca="false">ROUND('Raw Data'!P273,2)</f>
        <v>29.19</v>
      </c>
      <c r="H273" s="2" t="str">
        <f aca="false">IF('Raw Data'!S273="","Medium",'Raw Data'!S273)</f>
        <v>Low</v>
      </c>
      <c r="I273" s="2" t="str">
        <f aca="false">IF(E273&lt;100,"Small",IF(E273&lt;500,"Medium",IF(E273&lt;1500,"Large","Very Large")))</f>
        <v>Very Large</v>
      </c>
    </row>
    <row r="274" customFormat="false" ht="15" hidden="false" customHeight="false" outlineLevel="0" collapsed="false">
      <c r="A274" s="2" t="str">
        <f aca="false">'Raw Data'!A274</f>
        <v>ORD-4436</v>
      </c>
      <c r="B274" s="3" t="n">
        <f aca="false">IFERROR(DATEVALUE('Raw Data'!B274),"Check Format")</f>
        <v>45929</v>
      </c>
      <c r="C274" s="2" t="str">
        <f aca="false">IF('Raw Data'!E274="",IFERROR(INDEX('Raw Data'!$E$2:$E$501,MATCH('Raw Data'!D274,'Raw Data'!$D$2:$D$501,0)),"Unknown Customer"),'Raw Data'!E274)</f>
        <v>Meghan Rush</v>
      </c>
      <c r="D274" s="2" t="str">
        <f aca="false">PROPER(TRIM('Raw Data'!G274))</f>
        <v>Baton Rouge</v>
      </c>
      <c r="E274" s="2" t="n">
        <f aca="false">ROUND(VALUE(SUBSTITUTE(TRIM('Raw Data'!M274),"$","")),2)</f>
        <v>1424.22</v>
      </c>
      <c r="F274" s="2" t="n">
        <f aca="false">IF('Raw Data'!O274="",0,'Raw Data'!O274)</f>
        <v>0.2</v>
      </c>
      <c r="G274" s="2" t="n">
        <f aca="false">ROUND('Raw Data'!P274,2)</f>
        <v>-52.12</v>
      </c>
      <c r="H274" s="2" t="str">
        <f aca="false">IF('Raw Data'!S274="","Medium",'Raw Data'!S274)</f>
        <v>Medium</v>
      </c>
      <c r="I274" s="2" t="str">
        <f aca="false">IF(E274&lt;100,"Small",IF(E274&lt;500,"Medium",IF(E274&lt;1500,"Large","Very Large")))</f>
        <v>Large</v>
      </c>
    </row>
    <row r="275" customFormat="false" ht="15" hidden="false" customHeight="false" outlineLevel="0" collapsed="false">
      <c r="A275" s="2" t="str">
        <f aca="false">'Raw Data'!A275</f>
        <v>ORD-3447</v>
      </c>
      <c r="B275" s="2" t="str">
        <f aca="false">IFERROR(DATEVALUE('Raw Data'!B275),"Check Format")</f>
        <v>Check Format</v>
      </c>
      <c r="C275" s="2" t="str">
        <f aca="false">IF('Raw Data'!E275="",IFERROR(INDEX('Raw Data'!$E$2:$E$501,MATCH('Raw Data'!D275,'Raw Data'!$D$2:$D$501,0)),"Unknown Customer"),'Raw Data'!E275)</f>
        <v>Emily Arnold</v>
      </c>
      <c r="D275" s="2" t="str">
        <f aca="false">PROPER(TRIM('Raw Data'!G275))</f>
        <v>Pittsburgh</v>
      </c>
      <c r="E275" s="2" t="n">
        <f aca="false">ROUND(VALUE(SUBSTITUTE(TRIM('Raw Data'!M275),"$","")),2)</f>
        <v>2585.75</v>
      </c>
      <c r="F275" s="2" t="n">
        <f aca="false">IF('Raw Data'!O275="",0,'Raw Data'!O275)</f>
        <v>0.4</v>
      </c>
      <c r="G275" s="2" t="n">
        <f aca="false">ROUND('Raw Data'!P275,2)</f>
        <v>-304.56</v>
      </c>
      <c r="H275" s="2" t="str">
        <f aca="false">IF('Raw Data'!S275="","Medium",'Raw Data'!S275)</f>
        <v>High</v>
      </c>
      <c r="I275" s="2" t="str">
        <f aca="false">IF(E275&lt;100,"Small",IF(E275&lt;500,"Medium",IF(E275&lt;1500,"Large","Very Large")))</f>
        <v>Very Large</v>
      </c>
    </row>
    <row r="276" customFormat="false" ht="15" hidden="false" customHeight="false" outlineLevel="0" collapsed="false">
      <c r="A276" s="2" t="str">
        <f aca="false">'Raw Data'!A276</f>
        <v>ORD-9319</v>
      </c>
      <c r="B276" s="3" t="n">
        <f aca="false">IFERROR(DATEVALUE('Raw Data'!B276),"Check Format")</f>
        <v>46191</v>
      </c>
      <c r="C276" s="2" t="str">
        <f aca="false">IF('Raw Data'!E276="",IFERROR(INDEX('Raw Data'!$E$2:$E$501,MATCH('Raw Data'!D276,'Raw Data'!$D$2:$D$501,0)),"Unknown Customer"),'Raw Data'!E276)</f>
        <v>Michelle Rodriguez</v>
      </c>
      <c r="D276" s="2" t="str">
        <f aca="false">PROPER(TRIM('Raw Data'!G276))</f>
        <v>Montgomery</v>
      </c>
      <c r="E276" s="2" t="n">
        <f aca="false">ROUND(VALUE(SUBSTITUTE(TRIM('Raw Data'!M276),"$","")),2)</f>
        <v>80.52</v>
      </c>
      <c r="F276" s="2" t="n">
        <f aca="false">IF('Raw Data'!O276="",0,'Raw Data'!O276)</f>
        <v>0.2</v>
      </c>
      <c r="G276" s="2" t="n">
        <f aca="false">ROUND('Raw Data'!P276,2)</f>
        <v>14.13</v>
      </c>
      <c r="H276" s="2" t="str">
        <f aca="false">IF('Raw Data'!S276="","Medium",'Raw Data'!S276)</f>
        <v>Critical</v>
      </c>
      <c r="I276" s="2" t="str">
        <f aca="false">IF(E276&lt;100,"Small",IF(E276&lt;500,"Medium",IF(E276&lt;1500,"Large","Very Large")))</f>
        <v>Small</v>
      </c>
    </row>
    <row r="277" customFormat="false" ht="15" hidden="false" customHeight="false" outlineLevel="0" collapsed="false">
      <c r="A277" s="2" t="str">
        <f aca="false">'Raw Data'!A277</f>
        <v>ORD-13799</v>
      </c>
      <c r="B277" s="2" t="str">
        <f aca="false">IFERROR(DATEVALUE('Raw Data'!B277),"Check Format")</f>
        <v>Check Format</v>
      </c>
      <c r="C277" s="2" t="str">
        <f aca="false">IF('Raw Data'!E277="",IFERROR(INDEX('Raw Data'!$E$2:$E$501,MATCH('Raw Data'!D277,'Raw Data'!$D$2:$D$501,0)),"Unknown Customer"),'Raw Data'!E277)</f>
        <v>Debra Christian</v>
      </c>
      <c r="D277" s="2" t="str">
        <f aca="false">PROPER(TRIM('Raw Data'!G277))</f>
        <v>Birmingham</v>
      </c>
      <c r="E277" s="2" t="n">
        <f aca="false">ROUND(VALUE(SUBSTITUTE(TRIM('Raw Data'!M277),"$","")),2)</f>
        <v>695.38</v>
      </c>
      <c r="F277" s="2" t="n">
        <f aca="false">IF('Raw Data'!O277="",0,'Raw Data'!O277)</f>
        <v>0.5</v>
      </c>
      <c r="G277" s="2" t="n">
        <f aca="false">ROUND('Raw Data'!P277,2)</f>
        <v>-126.19</v>
      </c>
      <c r="H277" s="2" t="str">
        <f aca="false">IF('Raw Data'!S277="","Medium",'Raw Data'!S277)</f>
        <v>Critical</v>
      </c>
      <c r="I277" s="2" t="str">
        <f aca="false">IF(E277&lt;100,"Small",IF(E277&lt;500,"Medium",IF(E277&lt;1500,"Large","Very Large")))</f>
        <v>Large</v>
      </c>
    </row>
    <row r="278" customFormat="false" ht="15" hidden="false" customHeight="false" outlineLevel="0" collapsed="false">
      <c r="A278" s="2" t="str">
        <f aca="false">'Raw Data'!A278</f>
        <v>ORD-3556</v>
      </c>
      <c r="B278" s="2" t="str">
        <f aca="false">IFERROR(DATEVALUE('Raw Data'!B278),"Check Format")</f>
        <v>Check Format</v>
      </c>
      <c r="C278" s="2" t="str">
        <f aca="false">IF('Raw Data'!E278="",IFERROR(INDEX('Raw Data'!$E$2:$E$501,MATCH('Raw Data'!D278,'Raw Data'!$D$2:$D$501,0)),"Unknown Customer"),'Raw Data'!E278)</f>
        <v>Cheyenne Horton</v>
      </c>
      <c r="D278" s="2" t="str">
        <f aca="false">PROPER(TRIM('Raw Data'!G278))</f>
        <v>Reno</v>
      </c>
      <c r="E278" s="2" t="n">
        <f aca="false">ROUND(VALUE(SUBSTITUTE(TRIM('Raw Data'!M278),"$","")),2)</f>
        <v>167.88</v>
      </c>
      <c r="F278" s="2" t="n">
        <f aca="false">IF('Raw Data'!O278="",0,'Raw Data'!O278)</f>
        <v>0.1</v>
      </c>
      <c r="G278" s="2" t="n">
        <f aca="false">ROUND('Raw Data'!P278,2)</f>
        <v>25.12</v>
      </c>
      <c r="H278" s="2" t="str">
        <f aca="false">IF('Raw Data'!S278="","Medium",'Raw Data'!S278)</f>
        <v>High</v>
      </c>
      <c r="I278" s="2" t="str">
        <f aca="false">IF(E278&lt;100,"Small",IF(E278&lt;500,"Medium",IF(E278&lt;1500,"Large","Very Large")))</f>
        <v>Medium</v>
      </c>
    </row>
    <row r="279" customFormat="false" ht="15" hidden="false" customHeight="false" outlineLevel="0" collapsed="false">
      <c r="A279" s="2" t="str">
        <f aca="false">'Raw Data'!A279</f>
        <v>ORD-13867</v>
      </c>
      <c r="B279" s="2" t="str">
        <f aca="false">IFERROR(DATEVALUE('Raw Data'!B279),"Check Format")</f>
        <v>Check Format</v>
      </c>
      <c r="C279" s="2" t="str">
        <f aca="false">IF('Raw Data'!E279="",IFERROR(INDEX('Raw Data'!$E$2:$E$501,MATCH('Raw Data'!D279,'Raw Data'!$D$2:$D$501,0)),"Unknown Customer"),'Raw Data'!E279)</f>
        <v>Brittany Kim</v>
      </c>
      <c r="D279" s="2" t="str">
        <f aca="false">PROPER(TRIM('Raw Data'!G279))</f>
        <v>Sacramento</v>
      </c>
      <c r="E279" s="2" t="n">
        <f aca="false">ROUND(VALUE(SUBSTITUTE(TRIM('Raw Data'!M279),"$","")),2)</f>
        <v>5382.64</v>
      </c>
      <c r="F279" s="2" t="n">
        <f aca="false">IF('Raw Data'!O279="",0,'Raw Data'!O279)</f>
        <v>0.1</v>
      </c>
      <c r="G279" s="2" t="n">
        <f aca="false">ROUND('Raw Data'!P279,2)</f>
        <v>939.65</v>
      </c>
      <c r="H279" s="2" t="str">
        <f aca="false">IF('Raw Data'!S279="","Medium",'Raw Data'!S279)</f>
        <v>Critical</v>
      </c>
      <c r="I279" s="2" t="str">
        <f aca="false">IF(E279&lt;100,"Small",IF(E279&lt;500,"Medium",IF(E279&lt;1500,"Large","Very Large")))</f>
        <v>Very Large</v>
      </c>
    </row>
    <row r="280" customFormat="false" ht="15" hidden="false" customHeight="false" outlineLevel="0" collapsed="false">
      <c r="A280" s="2" t="str">
        <f aca="false">'Raw Data'!A280</f>
        <v>ORD-7626</v>
      </c>
      <c r="B280" s="3" t="n">
        <f aca="false">IFERROR(DATEVALUE('Raw Data'!B280),"Check Format")</f>
        <v>46118</v>
      </c>
      <c r="C280" s="2" t="str">
        <f aca="false">IF('Raw Data'!E280="",IFERROR(INDEX('Raw Data'!$E$2:$E$501,MATCH('Raw Data'!D280,'Raw Data'!$D$2:$D$501,0)),"Unknown Customer"),'Raw Data'!E280)</f>
        <v>Molly Watts</v>
      </c>
      <c r="D280" s="2" t="str">
        <f aca="false">PROPER(TRIM('Raw Data'!G280))</f>
        <v>Duluth</v>
      </c>
      <c r="E280" s="2" t="n">
        <f aca="false">ROUND(VALUE(SUBSTITUTE(TRIM('Raw Data'!M280),"$","")),2)</f>
        <v>3209.85</v>
      </c>
      <c r="F280" s="2" t="n">
        <f aca="false">IF('Raw Data'!O280="",0,'Raw Data'!O280)</f>
        <v>0.15</v>
      </c>
      <c r="G280" s="2" t="n">
        <f aca="false">ROUND('Raw Data'!P280,2)</f>
        <v>305.6</v>
      </c>
      <c r="H280" s="2" t="str">
        <f aca="false">IF('Raw Data'!S280="","Medium",'Raw Data'!S280)</f>
        <v>Low</v>
      </c>
      <c r="I280" s="2" t="str">
        <f aca="false">IF(E280&lt;100,"Small",IF(E280&lt;500,"Medium",IF(E280&lt;1500,"Large","Very Large")))</f>
        <v>Very Large</v>
      </c>
    </row>
    <row r="281" customFormat="false" ht="15" hidden="false" customHeight="false" outlineLevel="0" collapsed="false">
      <c r="A281" s="2" t="str">
        <f aca="false">'Raw Data'!A281</f>
        <v>ORD-16141</v>
      </c>
      <c r="B281" s="3" t="n">
        <f aca="false">IFERROR(DATEVALUE('Raw Data'!B281),"Check Format")</f>
        <v>45633</v>
      </c>
      <c r="C281" s="2" t="str">
        <f aca="false">IF('Raw Data'!E281="",IFERROR(INDEX('Raw Data'!$E$2:$E$501,MATCH('Raw Data'!D281,'Raw Data'!$D$2:$D$501,0)),"Unknown Customer"),'Raw Data'!E281)</f>
        <v>Kim Morrow</v>
      </c>
      <c r="D281" s="2" t="str">
        <f aca="false">PROPER(TRIM('Raw Data'!G281))</f>
        <v>Eugene</v>
      </c>
      <c r="E281" s="2" t="n">
        <f aca="false">ROUND(VALUE(SUBSTITUTE(TRIM('Raw Data'!M281),"$","")),2)</f>
        <v>140.32</v>
      </c>
      <c r="F281" s="2" t="n">
        <f aca="false">IF('Raw Data'!O281="",0,'Raw Data'!O281)</f>
        <v>0</v>
      </c>
      <c r="G281" s="2" t="n">
        <f aca="false">ROUND('Raw Data'!P281,2)</f>
        <v>12.11</v>
      </c>
      <c r="H281" s="2" t="str">
        <f aca="false">IF('Raw Data'!S281="","Medium",'Raw Data'!S281)</f>
        <v>High</v>
      </c>
      <c r="I281" s="2" t="str">
        <f aca="false">IF(E281&lt;100,"Small",IF(E281&lt;500,"Medium",IF(E281&lt;1500,"Large","Very Large")))</f>
        <v>Medium</v>
      </c>
    </row>
    <row r="282" customFormat="false" ht="15" hidden="false" customHeight="false" outlineLevel="0" collapsed="false">
      <c r="A282" s="2" t="str">
        <f aca="false">'Raw Data'!A282</f>
        <v>ORD-12544</v>
      </c>
      <c r="B282" s="2" t="str">
        <f aca="false">IFERROR(DATEVALUE('Raw Data'!B282),"Check Format")</f>
        <v>Check Format</v>
      </c>
      <c r="C282" s="2" t="str">
        <f aca="false">IF('Raw Data'!E282="",IFERROR(INDEX('Raw Data'!$E$2:$E$501,MATCH('Raw Data'!D282,'Raw Data'!$D$2:$D$501,0)),"Unknown Customer"),'Raw Data'!E282)</f>
        <v>Donald Medina</v>
      </c>
      <c r="D282" s="2" t="str">
        <f aca="false">PROPER(TRIM('Raw Data'!G282))</f>
        <v>Houston</v>
      </c>
      <c r="E282" s="2" t="n">
        <f aca="false">ROUND(VALUE(SUBSTITUTE(TRIM('Raw Data'!M282),"$","")),2)</f>
        <v>8.82</v>
      </c>
      <c r="F282" s="2" t="n">
        <f aca="false">IF('Raw Data'!O282="",0,'Raw Data'!O282)</f>
        <v>0.15</v>
      </c>
      <c r="G282" s="2" t="n">
        <f aca="false">ROUND('Raw Data'!P282,2)</f>
        <v>1.71</v>
      </c>
      <c r="H282" s="2" t="str">
        <f aca="false">IF('Raw Data'!S282="","Medium",'Raw Data'!S282)</f>
        <v>Low</v>
      </c>
      <c r="I282" s="2" t="str">
        <f aca="false">IF(E282&lt;100,"Small",IF(E282&lt;500,"Medium",IF(E282&lt;1500,"Large","Very Large")))</f>
        <v>Small</v>
      </c>
    </row>
    <row r="283" customFormat="false" ht="15" hidden="false" customHeight="false" outlineLevel="0" collapsed="false">
      <c r="A283" s="2" t="str">
        <f aca="false">'Raw Data'!A283</f>
        <v>ORD-13194</v>
      </c>
      <c r="B283" s="2" t="str">
        <f aca="false">IFERROR(DATEVALUE('Raw Data'!B283),"Check Format")</f>
        <v>Check Format</v>
      </c>
      <c r="C283" s="2" t="str">
        <f aca="false">IF('Raw Data'!E283="",IFERROR(INDEX('Raw Data'!$E$2:$E$501,MATCH('Raw Data'!D283,'Raw Data'!$D$2:$D$501,0)),"Unknown Customer"),'Raw Data'!E283)</f>
        <v>Laura Griffin</v>
      </c>
      <c r="D283" s="2" t="str">
        <f aca="false">PROPER(TRIM('Raw Data'!G283))</f>
        <v>Philadelphia</v>
      </c>
      <c r="E283" s="2" t="n">
        <f aca="false">ROUND(VALUE(SUBSTITUTE(TRIM('Raw Data'!M283),"$","")),2)</f>
        <v>655.83</v>
      </c>
      <c r="F283" s="2" t="n">
        <f aca="false">IF('Raw Data'!O283="",0,'Raw Data'!O283)</f>
        <v>0.5</v>
      </c>
      <c r="G283" s="2" t="n">
        <f aca="false">ROUND('Raw Data'!P283,2)</f>
        <v>-60.17</v>
      </c>
      <c r="H283" s="2" t="str">
        <f aca="false">IF('Raw Data'!S283="","Medium",'Raw Data'!S283)</f>
        <v>Critical</v>
      </c>
      <c r="I283" s="2" t="str">
        <f aca="false">IF(E283&lt;100,"Small",IF(E283&lt;500,"Medium",IF(E283&lt;1500,"Large","Very Large")))</f>
        <v>Large</v>
      </c>
    </row>
    <row r="284" customFormat="false" ht="15" hidden="false" customHeight="false" outlineLevel="0" collapsed="false">
      <c r="A284" s="2" t="str">
        <f aca="false">'Raw Data'!A284</f>
        <v>ORD-10420</v>
      </c>
      <c r="B284" s="3" t="n">
        <f aca="false">IFERROR(DATEVALUE('Raw Data'!B284),"Check Format")</f>
        <v>45470</v>
      </c>
      <c r="C284" s="2" t="str">
        <f aca="false">IF('Raw Data'!E284="",IFERROR(INDEX('Raw Data'!$E$2:$E$501,MATCH('Raw Data'!D284,'Raw Data'!$D$2:$D$501,0)),"Unknown Customer"),'Raw Data'!E284)</f>
        <v>Aaron Miller</v>
      </c>
      <c r="D284" s="2" t="str">
        <f aca="false">PROPER(TRIM('Raw Data'!G284))</f>
        <v>Spokane</v>
      </c>
      <c r="E284" s="2" t="n">
        <f aca="false">ROUND(VALUE(SUBSTITUTE(TRIM('Raw Data'!M284),"$","")),2)</f>
        <v>72.08</v>
      </c>
      <c r="F284" s="2" t="n">
        <f aca="false">IF('Raw Data'!O284="",0,'Raw Data'!O284)</f>
        <v>0.2</v>
      </c>
      <c r="G284" s="2" t="n">
        <f aca="false">ROUND('Raw Data'!P284,2)</f>
        <v>17.54</v>
      </c>
      <c r="H284" s="2" t="str">
        <f aca="false">IF('Raw Data'!S284="","Medium",'Raw Data'!S284)</f>
        <v>Critical</v>
      </c>
      <c r="I284" s="2" t="str">
        <f aca="false">IF(E284&lt;100,"Small",IF(E284&lt;500,"Medium",IF(E284&lt;1500,"Large","Very Large")))</f>
        <v>Small</v>
      </c>
    </row>
    <row r="285" customFormat="false" ht="15" hidden="false" customHeight="false" outlineLevel="0" collapsed="false">
      <c r="A285" s="2" t="str">
        <f aca="false">'Raw Data'!A285</f>
        <v>ORD-6691</v>
      </c>
      <c r="B285" s="3" t="n">
        <f aca="false">IFERROR(DATEVALUE('Raw Data'!B285),"Check Format")</f>
        <v>45400</v>
      </c>
      <c r="C285" s="2" t="str">
        <f aca="false">IF('Raw Data'!E285="",IFERROR(INDEX('Raw Data'!$E$2:$E$501,MATCH('Raw Data'!D285,'Raw Data'!$D$2:$D$501,0)),"Unknown Customer"),'Raw Data'!E285)</f>
        <v>Mr. Lawrence Edwards</v>
      </c>
      <c r="D285" s="2" t="str">
        <f aca="false">PROPER(TRIM('Raw Data'!G285))</f>
        <v>Philadelphia</v>
      </c>
      <c r="E285" s="2" t="n">
        <f aca="false">ROUND(VALUE(SUBSTITUTE(TRIM('Raw Data'!M285),"$","")),2)</f>
        <v>4817.78</v>
      </c>
      <c r="F285" s="2" t="n">
        <f aca="false">IF('Raw Data'!O285="",0,'Raw Data'!O285)</f>
        <v>0.2</v>
      </c>
      <c r="G285" s="2" t="n">
        <f aca="false">ROUND('Raw Data'!P285,2)</f>
        <v>-155.82</v>
      </c>
      <c r="H285" s="2" t="str">
        <f aca="false">IF('Raw Data'!S285="","Medium",'Raw Data'!S285)</f>
        <v>Critical</v>
      </c>
      <c r="I285" s="2" t="str">
        <f aca="false">IF(E285&lt;100,"Small",IF(E285&lt;500,"Medium",IF(E285&lt;1500,"Large","Very Large")))</f>
        <v>Very Large</v>
      </c>
    </row>
    <row r="286" customFormat="false" ht="15" hidden="false" customHeight="false" outlineLevel="0" collapsed="false">
      <c r="A286" s="2" t="str">
        <f aca="false">'Raw Data'!A286</f>
        <v>ORD-6079</v>
      </c>
      <c r="B286" s="3" t="n">
        <f aca="false">IFERROR(DATEVALUE('Raw Data'!B286),"Check Format")</f>
        <v>45228</v>
      </c>
      <c r="C286" s="2" t="str">
        <f aca="false">IF('Raw Data'!E286="",IFERROR(INDEX('Raw Data'!$E$2:$E$501,MATCH('Raw Data'!D286,'Raw Data'!$D$2:$D$501,0)),"Unknown Customer"),'Raw Data'!E286)</f>
        <v>Timothy Hill</v>
      </c>
      <c r="D286" s="2" t="str">
        <f aca="false">PROPER(TRIM('Raw Data'!G286))</f>
        <v>Seattle</v>
      </c>
      <c r="E286" s="2" t="n">
        <f aca="false">ROUND(VALUE(SUBSTITUTE(TRIM('Raw Data'!M286),"$","")),2)</f>
        <v>340.71</v>
      </c>
      <c r="F286" s="2" t="n">
        <f aca="false">IF('Raw Data'!O286="",0,'Raw Data'!O286)</f>
        <v>0.1</v>
      </c>
      <c r="G286" s="2" t="n">
        <f aca="false">ROUND('Raw Data'!P286,2)</f>
        <v>94.27</v>
      </c>
      <c r="H286" s="2" t="str">
        <f aca="false">IF('Raw Data'!S286="","Medium",'Raw Data'!S286)</f>
        <v>Critical</v>
      </c>
      <c r="I286" s="2" t="str">
        <f aca="false">IF(E286&lt;100,"Small",IF(E286&lt;500,"Medium",IF(E286&lt;1500,"Large","Very Large")))</f>
        <v>Medium</v>
      </c>
    </row>
    <row r="287" customFormat="false" ht="15" hidden="false" customHeight="false" outlineLevel="0" collapsed="false">
      <c r="A287" s="2" t="str">
        <f aca="false">'Raw Data'!A287</f>
        <v>ORD-3604</v>
      </c>
      <c r="B287" s="2" t="str">
        <f aca="false">IFERROR(DATEVALUE('Raw Data'!B287),"Check Format")</f>
        <v>Check Format</v>
      </c>
      <c r="C287" s="2" t="str">
        <f aca="false">IF('Raw Data'!E287="",IFERROR(INDEX('Raw Data'!$E$2:$E$501,MATCH('Raw Data'!D287,'Raw Data'!$D$2:$D$501,0)),"Unknown Customer"),'Raw Data'!E287)</f>
        <v>Linda Gonzalez</v>
      </c>
      <c r="D287" s="2" t="str">
        <f aca="false">PROPER(TRIM('Raw Data'!G287))</f>
        <v>Memphis</v>
      </c>
      <c r="E287" s="2" t="n">
        <f aca="false">ROUND(VALUE(SUBSTITUTE(TRIM('Raw Data'!M287),"$","")),2)</f>
        <v>4457.97</v>
      </c>
      <c r="F287" s="2" t="n">
        <f aca="false">IF('Raw Data'!O287="",0,'Raw Data'!O287)</f>
        <v>0.3</v>
      </c>
      <c r="G287" s="2" t="n">
        <f aca="false">ROUND('Raw Data'!P287,2)</f>
        <v>162.58</v>
      </c>
      <c r="H287" s="2" t="str">
        <f aca="false">IF('Raw Data'!S287="","Medium",'Raw Data'!S287)</f>
        <v>Low</v>
      </c>
      <c r="I287" s="2" t="str">
        <f aca="false">IF(E287&lt;100,"Small",IF(E287&lt;500,"Medium",IF(E287&lt;1500,"Large","Very Large")))</f>
        <v>Very Large</v>
      </c>
    </row>
    <row r="288" customFormat="false" ht="15" hidden="false" customHeight="false" outlineLevel="0" collapsed="false">
      <c r="A288" s="2" t="str">
        <f aca="false">'Raw Data'!A288</f>
        <v>ORD-17313</v>
      </c>
      <c r="B288" s="3" t="n">
        <f aca="false">IFERROR(DATEVALUE('Raw Data'!B288),"Check Format")</f>
        <v>45504</v>
      </c>
      <c r="C288" s="2" t="str">
        <f aca="false">IF('Raw Data'!E288="",IFERROR(INDEX('Raw Data'!$E$2:$E$501,MATCH('Raw Data'!D288,'Raw Data'!$D$2:$D$501,0)),"Unknown Customer"),'Raw Data'!E288)</f>
        <v>Desiree Tyler</v>
      </c>
      <c r="D288" s="2" t="str">
        <f aca="false">PROPER(TRIM('Raw Data'!G288))</f>
        <v>Chicago</v>
      </c>
      <c r="E288" s="2" t="n">
        <f aca="false">ROUND(VALUE(SUBSTITUTE(TRIM('Raw Data'!M288),"$","")),2)</f>
        <v>402.15</v>
      </c>
      <c r="F288" s="2" t="n">
        <f aca="false">IF('Raw Data'!O288="",0,'Raw Data'!O288)</f>
        <v>0</v>
      </c>
      <c r="G288" s="2" t="n">
        <f aca="false">ROUND('Raw Data'!P288,2)</f>
        <v>85.67</v>
      </c>
      <c r="H288" s="2" t="str">
        <f aca="false">IF('Raw Data'!S288="","Medium",'Raw Data'!S288)</f>
        <v>Medium</v>
      </c>
      <c r="I288" s="2" t="str">
        <f aca="false">IF(E288&lt;100,"Small",IF(E288&lt;500,"Medium",IF(E288&lt;1500,"Large","Very Large")))</f>
        <v>Medium</v>
      </c>
    </row>
    <row r="289" customFormat="false" ht="15" hidden="false" customHeight="false" outlineLevel="0" collapsed="false">
      <c r="A289" s="2" t="str">
        <f aca="false">'Raw Data'!A289</f>
        <v>ORD-5238</v>
      </c>
      <c r="B289" s="3" t="n">
        <f aca="false">IFERROR(DATEVALUE('Raw Data'!B289),"Check Format")</f>
        <v>46067</v>
      </c>
      <c r="C289" s="2" t="str">
        <f aca="false">IF('Raw Data'!E289="",IFERROR(INDEX('Raw Data'!$E$2:$E$501,MATCH('Raw Data'!D289,'Raw Data'!$D$2:$D$501,0)),"Unknown Customer"),'Raw Data'!E289)</f>
        <v>Kristen Peters</v>
      </c>
      <c r="D289" s="2" t="str">
        <f aca="false">PROPER(TRIM('Raw Data'!G289))</f>
        <v>Denver</v>
      </c>
      <c r="E289" s="2" t="n">
        <f aca="false">ROUND(VALUE(SUBSTITUTE(TRIM('Raw Data'!M289),"$","")),2)</f>
        <v>1867.44</v>
      </c>
      <c r="F289" s="2" t="n">
        <f aca="false">IF('Raw Data'!O289="",0,'Raw Data'!O289)</f>
        <v>0.1</v>
      </c>
      <c r="G289" s="2" t="n">
        <f aca="false">ROUND('Raw Data'!P289,2)</f>
        <v>620.39</v>
      </c>
      <c r="H289" s="2" t="str">
        <f aca="false">IF('Raw Data'!S289="","Medium",'Raw Data'!S289)</f>
        <v>Critical</v>
      </c>
      <c r="I289" s="2" t="str">
        <f aca="false">IF(E289&lt;100,"Small",IF(E289&lt;500,"Medium",IF(E289&lt;1500,"Large","Very Large")))</f>
        <v>Very Large</v>
      </c>
    </row>
    <row r="290" customFormat="false" ht="15" hidden="false" customHeight="false" outlineLevel="0" collapsed="false">
      <c r="A290" s="2" t="str">
        <f aca="false">'Raw Data'!A290</f>
        <v>ORD-18122</v>
      </c>
      <c r="B290" s="3" t="n">
        <f aca="false">IFERROR(DATEVALUE('Raw Data'!B290),"Check Format")</f>
        <v>46146</v>
      </c>
      <c r="C290" s="2" t="str">
        <f aca="false">IF('Raw Data'!E290="",IFERROR(INDEX('Raw Data'!$E$2:$E$501,MATCH('Raw Data'!D290,'Raw Data'!$D$2:$D$501,0)),"Unknown Customer"),'Raw Data'!E290)</f>
        <v>Timothy Edwards</v>
      </c>
      <c r="D290" s="2" t="str">
        <f aca="false">PROPER(TRIM('Raw Data'!G290))</f>
        <v>Eugene</v>
      </c>
      <c r="E290" s="2" t="n">
        <f aca="false">ROUND(VALUE(SUBSTITUTE(TRIM('Raw Data'!M290),"$","")),2)</f>
        <v>3888</v>
      </c>
      <c r="F290" s="2" t="n">
        <f aca="false">IF('Raw Data'!O290="",0,'Raw Data'!O290)</f>
        <v>0</v>
      </c>
      <c r="G290" s="2" t="n">
        <f aca="false">ROUND('Raw Data'!P290,2)</f>
        <v>902.28</v>
      </c>
      <c r="H290" s="2" t="str">
        <f aca="false">IF('Raw Data'!S290="","Medium",'Raw Data'!S290)</f>
        <v>Medium</v>
      </c>
      <c r="I290" s="2" t="str">
        <f aca="false">IF(E290&lt;100,"Small",IF(E290&lt;500,"Medium",IF(E290&lt;1500,"Large","Very Large")))</f>
        <v>Very Large</v>
      </c>
    </row>
    <row r="291" customFormat="false" ht="15" hidden="false" customHeight="false" outlineLevel="0" collapsed="false">
      <c r="A291" s="2" t="str">
        <f aca="false">'Raw Data'!A291</f>
        <v>ORD-13773</v>
      </c>
      <c r="B291" s="3" t="n">
        <f aca="false">IFERROR(DATEVALUE('Raw Data'!B291),"Check Format")</f>
        <v>46007</v>
      </c>
      <c r="C291" s="2" t="str">
        <f aca="false">IF('Raw Data'!E291="",IFERROR(INDEX('Raw Data'!$E$2:$E$501,MATCH('Raw Data'!D291,'Raw Data'!$D$2:$D$501,0)),"Unknown Customer"),'Raw Data'!E291)</f>
        <v>Karen Keith</v>
      </c>
      <c r="D291" s="2" t="str">
        <f aca="false">PROPER(TRIM('Raw Data'!G291))</f>
        <v>Birmingham</v>
      </c>
      <c r="E291" s="2" t="n">
        <f aca="false">ROUND(VALUE(SUBSTITUTE(TRIM('Raw Data'!M291),"$","")),2)</f>
        <v>455.76</v>
      </c>
      <c r="F291" s="2" t="n">
        <f aca="false">IF('Raw Data'!O291="",0,'Raw Data'!O291)</f>
        <v>0</v>
      </c>
      <c r="G291" s="2" t="n">
        <f aca="false">ROUND('Raw Data'!P291,2)</f>
        <v>172.02</v>
      </c>
      <c r="H291" s="2" t="str">
        <f aca="false">IF('Raw Data'!S291="","Medium",'Raw Data'!S291)</f>
        <v>Critical</v>
      </c>
      <c r="I291" s="2" t="str">
        <f aca="false">IF(E291&lt;100,"Small",IF(E291&lt;500,"Medium",IF(E291&lt;1500,"Large","Very Large")))</f>
        <v>Medium</v>
      </c>
    </row>
    <row r="292" customFormat="false" ht="15" hidden="false" customHeight="false" outlineLevel="0" collapsed="false">
      <c r="A292" s="2" t="str">
        <f aca="false">'Raw Data'!A292</f>
        <v>ORD-7380</v>
      </c>
      <c r="B292" s="2" t="str">
        <f aca="false">IFERROR(DATEVALUE('Raw Data'!B292),"Check Format")</f>
        <v>Check Format</v>
      </c>
      <c r="C292" s="2" t="str">
        <f aca="false">IF('Raw Data'!E292="",IFERROR(INDEX('Raw Data'!$E$2:$E$501,MATCH('Raw Data'!D292,'Raw Data'!$D$2:$D$501,0)),"Unknown Customer"),'Raw Data'!E292)</f>
        <v>Susan Conley</v>
      </c>
      <c r="D292" s="2" t="str">
        <f aca="false">PROPER(TRIM('Raw Data'!G292))</f>
        <v>Austin</v>
      </c>
      <c r="E292" s="2" t="n">
        <f aca="false">ROUND(VALUE(SUBSTITUTE(TRIM('Raw Data'!M292),"$","")),2)</f>
        <v>1006.08</v>
      </c>
      <c r="F292" s="2" t="n">
        <f aca="false">IF('Raw Data'!O292="",0,'Raw Data'!O292)</f>
        <v>0</v>
      </c>
      <c r="G292" s="2" t="n">
        <f aca="false">ROUND('Raw Data'!P292,2)</f>
        <v>396.48</v>
      </c>
      <c r="H292" s="2" t="str">
        <f aca="false">IF('Raw Data'!S292="","Medium",'Raw Data'!S292)</f>
        <v>Critical</v>
      </c>
      <c r="I292" s="2" t="str">
        <f aca="false">IF(E292&lt;100,"Small",IF(E292&lt;500,"Medium",IF(E292&lt;1500,"Large","Very Large")))</f>
        <v>Large</v>
      </c>
    </row>
    <row r="293" customFormat="false" ht="15" hidden="false" customHeight="false" outlineLevel="0" collapsed="false">
      <c r="A293" s="2" t="str">
        <f aca="false">'Raw Data'!A293</f>
        <v>ORD-14930</v>
      </c>
      <c r="B293" s="2" t="str">
        <f aca="false">IFERROR(DATEVALUE('Raw Data'!B293),"Check Format")</f>
        <v>Check Format</v>
      </c>
      <c r="C293" s="2" t="str">
        <f aca="false">IF('Raw Data'!E293="",IFERROR(INDEX('Raw Data'!$E$2:$E$501,MATCH('Raw Data'!D293,'Raw Data'!$D$2:$D$501,0)),"Unknown Customer"),'Raw Data'!E293)</f>
        <v>Mason Moore</v>
      </c>
      <c r="D293" s="2" t="str">
        <f aca="false">PROPER(TRIM('Raw Data'!G293))</f>
        <v>Phoenix</v>
      </c>
      <c r="E293" s="2" t="n">
        <f aca="false">ROUND(VALUE(SUBSTITUTE(TRIM('Raw Data'!M293),"$","")),2)</f>
        <v>361.35</v>
      </c>
      <c r="F293" s="2" t="n">
        <f aca="false">IF('Raw Data'!O293="",0,'Raw Data'!O293)</f>
        <v>0.2</v>
      </c>
      <c r="G293" s="2" t="n">
        <f aca="false">ROUND('Raw Data'!P293,2)</f>
        <v>9.37</v>
      </c>
      <c r="H293" s="2" t="str">
        <f aca="false">IF('Raw Data'!S293="","Medium",'Raw Data'!S293)</f>
        <v>High</v>
      </c>
      <c r="I293" s="2" t="str">
        <f aca="false">IF(E293&lt;100,"Small",IF(E293&lt;500,"Medium",IF(E293&lt;1500,"Large","Very Large")))</f>
        <v>Medium</v>
      </c>
    </row>
    <row r="294" customFormat="false" ht="15" hidden="false" customHeight="false" outlineLevel="0" collapsed="false">
      <c r="A294" s="2" t="str">
        <f aca="false">'Raw Data'!A294</f>
        <v>ORD-13102</v>
      </c>
      <c r="B294" s="2" t="str">
        <f aca="false">IFERROR(DATEVALUE('Raw Data'!B294),"Check Format")</f>
        <v>Check Format</v>
      </c>
      <c r="C294" s="2" t="str">
        <f aca="false">IF('Raw Data'!E294="",IFERROR(INDEX('Raw Data'!$E$2:$E$501,MATCH('Raw Data'!D294,'Raw Data'!$D$2:$D$501,0)),"Unknown Customer"),'Raw Data'!E294)</f>
        <v>Christian Leblanc</v>
      </c>
      <c r="D294" s="2" t="str">
        <f aca="false">PROPER(TRIM('Raw Data'!G294))</f>
        <v>Norfolk</v>
      </c>
      <c r="E294" s="2" t="n">
        <f aca="false">ROUND(VALUE(SUBSTITUTE(TRIM('Raw Data'!M294),"$","")),2)</f>
        <v>2407.36</v>
      </c>
      <c r="F294" s="2" t="n">
        <f aca="false">IF('Raw Data'!O294="",0,'Raw Data'!O294)</f>
        <v>0.5</v>
      </c>
      <c r="G294" s="2" t="n">
        <f aca="false">ROUND('Raw Data'!P294,2)</f>
        <v>-614.53</v>
      </c>
      <c r="H294" s="2" t="str">
        <f aca="false">IF('Raw Data'!S294="","Medium",'Raw Data'!S294)</f>
        <v>Low</v>
      </c>
      <c r="I294" s="2" t="str">
        <f aca="false">IF(E294&lt;100,"Small",IF(E294&lt;500,"Medium",IF(E294&lt;1500,"Large","Very Large")))</f>
        <v>Very Large</v>
      </c>
    </row>
    <row r="295" customFormat="false" ht="15" hidden="false" customHeight="false" outlineLevel="0" collapsed="false">
      <c r="A295" s="2" t="str">
        <f aca="false">'Raw Data'!A295</f>
        <v>ORD-7885</v>
      </c>
      <c r="B295" s="3" t="n">
        <f aca="false">IFERROR(DATEVALUE('Raw Data'!B295),"Check Format")</f>
        <v>45469</v>
      </c>
      <c r="C295" s="2" t="str">
        <f aca="false">IF('Raw Data'!E295="",IFERROR(INDEX('Raw Data'!$E$2:$E$501,MATCH('Raw Data'!D295,'Raw Data'!$D$2:$D$501,0)),"Unknown Customer"),'Raw Data'!E295)</f>
        <v>Veronica King</v>
      </c>
      <c r="D295" s="2" t="str">
        <f aca="false">PROPER(TRIM('Raw Data'!G295))</f>
        <v>Tampa</v>
      </c>
      <c r="E295" s="2" t="n">
        <f aca="false">ROUND(VALUE(SUBSTITUTE(TRIM('Raw Data'!M295),"$","")),2)</f>
        <v>10.02</v>
      </c>
      <c r="F295" s="2" t="n">
        <f aca="false">IF('Raw Data'!O295="",0,'Raw Data'!O295)</f>
        <v>0</v>
      </c>
      <c r="G295" s="2" t="n">
        <f aca="false">ROUND('Raw Data'!P295,2)</f>
        <v>2.93</v>
      </c>
      <c r="H295" s="2" t="str">
        <f aca="false">IF('Raw Data'!S295="","Medium",'Raw Data'!S295)</f>
        <v>Medium</v>
      </c>
      <c r="I295" s="2" t="str">
        <f aca="false">IF(E295&lt;100,"Small",IF(E295&lt;500,"Medium",IF(E295&lt;1500,"Large","Very Large")))</f>
        <v>Small</v>
      </c>
    </row>
    <row r="296" customFormat="false" ht="15" hidden="false" customHeight="false" outlineLevel="0" collapsed="false">
      <c r="A296" s="2" t="str">
        <f aca="false">'Raw Data'!A296</f>
        <v>ORD-9836</v>
      </c>
      <c r="B296" s="3" t="n">
        <f aca="false">IFERROR(DATEVALUE('Raw Data'!B296),"Check Format")</f>
        <v>45209</v>
      </c>
      <c r="C296" s="2" t="str">
        <f aca="false">IF('Raw Data'!E296="",IFERROR(INDEX('Raw Data'!$E$2:$E$501,MATCH('Raw Data'!D296,'Raw Data'!$D$2:$D$501,0)),"Unknown Customer"),'Raw Data'!E296)</f>
        <v>Michael Holloway</v>
      </c>
      <c r="D296" s="2" t="str">
        <f aca="false">PROPER(TRIM('Raw Data'!G296))</f>
        <v>Springfield</v>
      </c>
      <c r="E296" s="2" t="n">
        <f aca="false">ROUND(VALUE(SUBSTITUTE(TRIM('Raw Data'!M296),"$","")),2)</f>
        <v>2116.48</v>
      </c>
      <c r="F296" s="2" t="n">
        <f aca="false">IF('Raw Data'!O296="",0,'Raw Data'!O296)</f>
        <v>0</v>
      </c>
      <c r="G296" s="2" t="n">
        <f aca="false">ROUND('Raw Data'!P296,2)</f>
        <v>330.03</v>
      </c>
      <c r="H296" s="2" t="str">
        <f aca="false">IF('Raw Data'!S296="","Medium",'Raw Data'!S296)</f>
        <v>Medium</v>
      </c>
      <c r="I296" s="2" t="str">
        <f aca="false">IF(E296&lt;100,"Small",IF(E296&lt;500,"Medium",IF(E296&lt;1500,"Large","Very Large")))</f>
        <v>Very Large</v>
      </c>
    </row>
    <row r="297" customFormat="false" ht="15" hidden="false" customHeight="false" outlineLevel="0" collapsed="false">
      <c r="A297" s="2" t="str">
        <f aca="false">'Raw Data'!A297</f>
        <v>ORD-8336</v>
      </c>
      <c r="B297" s="3" t="n">
        <f aca="false">IFERROR(DATEVALUE('Raw Data'!B297),"Check Format")</f>
        <v>46116</v>
      </c>
      <c r="C297" s="2" t="str">
        <f aca="false">IF('Raw Data'!E297="",IFERROR(INDEX('Raw Data'!$E$2:$E$501,MATCH('Raw Data'!D297,'Raw Data'!$D$2:$D$501,0)),"Unknown Customer"),'Raw Data'!E297)</f>
        <v>David Kelly</v>
      </c>
      <c r="D297" s="2" t="str">
        <f aca="false">PROPER(TRIM('Raw Data'!G297))</f>
        <v>Boston</v>
      </c>
      <c r="E297" s="2" t="n">
        <f aca="false">ROUND(VALUE(SUBSTITUTE(TRIM('Raw Data'!M297),"$","")),2)</f>
        <v>16.33</v>
      </c>
      <c r="F297" s="2" t="n">
        <f aca="false">IF('Raw Data'!O297="",0,'Raw Data'!O297)</f>
        <v>0.15</v>
      </c>
      <c r="G297" s="2" t="n">
        <f aca="false">ROUND('Raw Data'!P297,2)</f>
        <v>4.14</v>
      </c>
      <c r="H297" s="2" t="str">
        <f aca="false">IF('Raw Data'!S297="","Medium",'Raw Data'!S297)</f>
        <v>High</v>
      </c>
      <c r="I297" s="2" t="str">
        <f aca="false">IF(E297&lt;100,"Small",IF(E297&lt;500,"Medium",IF(E297&lt;1500,"Large","Very Large")))</f>
        <v>Small</v>
      </c>
    </row>
    <row r="298" customFormat="false" ht="15" hidden="false" customHeight="false" outlineLevel="0" collapsed="false">
      <c r="A298" s="2" t="str">
        <f aca="false">'Raw Data'!A298</f>
        <v>ORD-3583</v>
      </c>
      <c r="B298" s="2" t="str">
        <f aca="false">IFERROR(DATEVALUE('Raw Data'!B298),"Check Format")</f>
        <v>Check Format</v>
      </c>
      <c r="C298" s="2" t="str">
        <f aca="false">IF('Raw Data'!E298="",IFERROR(INDEX('Raw Data'!$E$2:$E$501,MATCH('Raw Data'!D298,'Raw Data'!$D$2:$D$501,0)),"Unknown Customer"),'Raw Data'!E298)</f>
        <v>Ryan Landry</v>
      </c>
      <c r="D298" s="2" t="str">
        <f aca="false">PROPER(TRIM('Raw Data'!G298))</f>
        <v>Newark</v>
      </c>
      <c r="E298" s="2" t="n">
        <f aca="false">ROUND(VALUE(SUBSTITUTE(TRIM('Raw Data'!M298),"$","")),2)</f>
        <v>479.6</v>
      </c>
      <c r="F298" s="2" t="n">
        <f aca="false">IF('Raw Data'!O298="",0,'Raw Data'!O298)</f>
        <v>0</v>
      </c>
      <c r="G298" s="2" t="n">
        <f aca="false">ROUND('Raw Data'!P298,2)</f>
        <v>184.08</v>
      </c>
      <c r="H298" s="2" t="str">
        <f aca="false">IF('Raw Data'!S298="","Medium",'Raw Data'!S298)</f>
        <v>Low</v>
      </c>
      <c r="I298" s="2" t="str">
        <f aca="false">IF(E298&lt;100,"Small",IF(E298&lt;500,"Medium",IF(E298&lt;1500,"Large","Very Large")))</f>
        <v>Medium</v>
      </c>
    </row>
    <row r="299" customFormat="false" ht="15" hidden="false" customHeight="false" outlineLevel="0" collapsed="false">
      <c r="A299" s="2" t="str">
        <f aca="false">'Raw Data'!A299</f>
        <v>ORD-12476</v>
      </c>
      <c r="B299" s="2" t="str">
        <f aca="false">IFERROR(DATEVALUE('Raw Data'!B299),"Check Format")</f>
        <v>Check Format</v>
      </c>
      <c r="C299" s="2" t="str">
        <f aca="false">IF('Raw Data'!E299="",IFERROR(INDEX('Raw Data'!$E$2:$E$501,MATCH('Raw Data'!D299,'Raw Data'!$D$2:$D$501,0)),"Unknown Customer"),'Raw Data'!E299)</f>
        <v>Rebecca Marquez</v>
      </c>
      <c r="D299" s="2" t="str">
        <f aca="false">PROPER(TRIM('Raw Data'!G299))</f>
        <v>Houston</v>
      </c>
      <c r="E299" s="2" t="n">
        <f aca="false">ROUND(VALUE(SUBSTITUTE(TRIM('Raw Data'!M299),"$","")),2)</f>
        <v>176.35</v>
      </c>
      <c r="F299" s="2" t="n">
        <f aca="false">IF('Raw Data'!O299="",0,'Raw Data'!O299)</f>
        <v>0</v>
      </c>
      <c r="G299" s="2" t="n">
        <f aca="false">ROUND('Raw Data'!P299,2)</f>
        <v>29.35</v>
      </c>
      <c r="H299" s="2" t="str">
        <f aca="false">IF('Raw Data'!S299="","Medium",'Raw Data'!S299)</f>
        <v>High</v>
      </c>
      <c r="I299" s="2" t="str">
        <f aca="false">IF(E299&lt;100,"Small",IF(E299&lt;500,"Medium",IF(E299&lt;1500,"Large","Very Large")))</f>
        <v>Medium</v>
      </c>
    </row>
    <row r="300" customFormat="false" ht="15" hidden="false" customHeight="false" outlineLevel="0" collapsed="false">
      <c r="A300" s="2" t="str">
        <f aca="false">'Raw Data'!A300</f>
        <v>ORD-15936</v>
      </c>
      <c r="B300" s="2" t="str">
        <f aca="false">IFERROR(DATEVALUE('Raw Data'!B300),"Check Format")</f>
        <v>Check Format</v>
      </c>
      <c r="C300" s="2" t="str">
        <f aca="false">IF('Raw Data'!E300="",IFERROR(INDEX('Raw Data'!$E$2:$E$501,MATCH('Raw Data'!D300,'Raw Data'!$D$2:$D$501,0)),"Unknown Customer"),'Raw Data'!E300)</f>
        <v>Cody Ramirez</v>
      </c>
      <c r="D300" s="2" t="str">
        <f aca="false">PROPER(TRIM('Raw Data'!G300))</f>
        <v>Seattle</v>
      </c>
      <c r="E300" s="2" t="n">
        <f aca="false">ROUND(VALUE(SUBSTITUTE(TRIM('Raw Data'!M300),"$","")),2)</f>
        <v>2156.52</v>
      </c>
      <c r="F300" s="2" t="n">
        <f aca="false">IF('Raw Data'!O300="",0,'Raw Data'!O300)</f>
        <v>0.15</v>
      </c>
      <c r="G300" s="2" t="n">
        <f aca="false">ROUND('Raw Data'!P300,2)</f>
        <v>142.95</v>
      </c>
      <c r="H300" s="2" t="str">
        <f aca="false">IF('Raw Data'!S300="","Medium",'Raw Data'!S300)</f>
        <v>Low</v>
      </c>
      <c r="I300" s="2" t="str">
        <f aca="false">IF(E300&lt;100,"Small",IF(E300&lt;500,"Medium",IF(E300&lt;1500,"Large","Very Large")))</f>
        <v>Very Large</v>
      </c>
    </row>
    <row r="301" customFormat="false" ht="15" hidden="false" customHeight="false" outlineLevel="0" collapsed="false">
      <c r="A301" s="2" t="str">
        <f aca="false">'Raw Data'!A301</f>
        <v>ORD-6304</v>
      </c>
      <c r="B301" s="3" t="n">
        <f aca="false">IFERROR(DATEVALUE('Raw Data'!B301),"Check Format")</f>
        <v>45953</v>
      </c>
      <c r="C301" s="2" t="str">
        <f aca="false">IF('Raw Data'!E301="",IFERROR(INDEX('Raw Data'!$E$2:$E$501,MATCH('Raw Data'!D301,'Raw Data'!$D$2:$D$501,0)),"Unknown Customer"),'Raw Data'!E301)</f>
        <v>Sarah Thompson</v>
      </c>
      <c r="D301" s="2" t="str">
        <f aca="false">PROPER(TRIM('Raw Data'!G301))</f>
        <v>Charlotte</v>
      </c>
      <c r="E301" s="2" t="n">
        <f aca="false">ROUND(VALUE(SUBSTITUTE(TRIM('Raw Data'!M301),"$","")),2)</f>
        <v>1669.7</v>
      </c>
      <c r="F301" s="2" t="n">
        <f aca="false">IF('Raw Data'!O301="",0,'Raw Data'!O301)</f>
        <v>0</v>
      </c>
      <c r="G301" s="2" t="n">
        <f aca="false">ROUND('Raw Data'!P301,2)</f>
        <v>688.27</v>
      </c>
      <c r="H301" s="2" t="str">
        <f aca="false">IF('Raw Data'!S301="","Medium",'Raw Data'!S301)</f>
        <v>Critical</v>
      </c>
      <c r="I301" s="2" t="str">
        <f aca="false">IF(E301&lt;100,"Small",IF(E301&lt;500,"Medium",IF(E301&lt;1500,"Large","Very Large")))</f>
        <v>Very Large</v>
      </c>
    </row>
    <row r="302" customFormat="false" ht="15" hidden="false" customHeight="false" outlineLevel="0" collapsed="false">
      <c r="A302" s="2" t="str">
        <f aca="false">'Raw Data'!A302</f>
        <v>ORD-11984</v>
      </c>
      <c r="B302" s="2" t="str">
        <f aca="false">IFERROR(DATEVALUE('Raw Data'!B302),"Check Format")</f>
        <v>Check Format</v>
      </c>
      <c r="C302" s="2" t="str">
        <f aca="false">IF('Raw Data'!E302="",IFERROR(INDEX('Raw Data'!$E$2:$E$501,MATCH('Raw Data'!D302,'Raw Data'!$D$2:$D$501,0)),"Unknown Customer"),'Raw Data'!E302)</f>
        <v>Rebecca Valencia</v>
      </c>
      <c r="D302" s="2" t="str">
        <f aca="false">PROPER(TRIM('Raw Data'!G302))</f>
        <v>Chicago</v>
      </c>
      <c r="E302" s="2" t="n">
        <f aca="false">ROUND(VALUE(SUBSTITUTE(TRIM('Raw Data'!M302),"$","")),2)</f>
        <v>6592.6</v>
      </c>
      <c r="F302" s="2" t="n">
        <f aca="false">IF('Raw Data'!O302="",0,'Raw Data'!O302)</f>
        <v>0.4</v>
      </c>
      <c r="G302" s="2" t="n">
        <f aca="false">ROUND('Raw Data'!P302,2)</f>
        <v>20.86</v>
      </c>
      <c r="H302" s="2" t="str">
        <f aca="false">IF('Raw Data'!S302="","Medium",'Raw Data'!S302)</f>
        <v>Medium</v>
      </c>
      <c r="I302" s="2" t="str">
        <f aca="false">IF(E302&lt;100,"Small",IF(E302&lt;500,"Medium",IF(E302&lt;1500,"Large","Very Large")))</f>
        <v>Very Large</v>
      </c>
    </row>
    <row r="303" customFormat="false" ht="15" hidden="false" customHeight="false" outlineLevel="0" collapsed="false">
      <c r="A303" s="2" t="str">
        <f aca="false">'Raw Data'!A303</f>
        <v>ORD-15600</v>
      </c>
      <c r="B303" s="2" t="str">
        <f aca="false">IFERROR(DATEVALUE('Raw Data'!B303),"Check Format")</f>
        <v>Check Format</v>
      </c>
      <c r="C303" s="2" t="str">
        <f aca="false">IF('Raw Data'!E303="",IFERROR(INDEX('Raw Data'!$E$2:$E$501,MATCH('Raw Data'!D303,'Raw Data'!$D$2:$D$501,0)),"Unknown Customer"),'Raw Data'!E303)</f>
        <v>Johnathan Brown</v>
      </c>
      <c r="D303" s="2" t="str">
        <f aca="false">PROPER(TRIM('Raw Data'!G303))</f>
        <v>Sacramento</v>
      </c>
      <c r="E303" s="2" t="n">
        <f aca="false">ROUND(VALUE(SUBSTITUTE(TRIM('Raw Data'!M303),"$","")),2)</f>
        <v>780.65</v>
      </c>
      <c r="F303" s="2" t="n">
        <f aca="false">IF('Raw Data'!O303="",0,'Raw Data'!O303)</f>
        <v>0.2</v>
      </c>
      <c r="G303" s="2" t="n">
        <f aca="false">ROUND('Raw Data'!P303,2)</f>
        <v>77.08</v>
      </c>
      <c r="H303" s="2" t="str">
        <f aca="false">IF('Raw Data'!S303="","Medium",'Raw Data'!S303)</f>
        <v>Medium</v>
      </c>
      <c r="I303" s="2" t="str">
        <f aca="false">IF(E303&lt;100,"Small",IF(E303&lt;500,"Medium",IF(E303&lt;1500,"Large","Very Large")))</f>
        <v>Large</v>
      </c>
    </row>
    <row r="304" customFormat="false" ht="15" hidden="false" customHeight="false" outlineLevel="0" collapsed="false">
      <c r="A304" s="2" t="str">
        <f aca="false">'Raw Data'!A304</f>
        <v>ORD-16461</v>
      </c>
      <c r="B304" s="3" t="n">
        <f aca="false">IFERROR(DATEVALUE('Raw Data'!B304),"Check Format")</f>
        <v>45474</v>
      </c>
      <c r="C304" s="2" t="str">
        <f aca="false">IF('Raw Data'!E304="",IFERROR(INDEX('Raw Data'!$E$2:$E$501,MATCH('Raw Data'!D304,'Raw Data'!$D$2:$D$501,0)),"Unknown Customer"),'Raw Data'!E304)</f>
        <v>Jonathan Lawrence</v>
      </c>
      <c r="D304" s="2" t="str">
        <f aca="false">PROPER(TRIM('Raw Data'!G304))</f>
        <v>Denver</v>
      </c>
      <c r="E304" s="2" t="n">
        <f aca="false">ROUND(VALUE(SUBSTITUTE(TRIM('Raw Data'!M304),"$","")),2)</f>
        <v>2420.5</v>
      </c>
      <c r="F304" s="2" t="n">
        <f aca="false">IF('Raw Data'!O304="",0,'Raw Data'!O304)</f>
        <v>0.5</v>
      </c>
      <c r="G304" s="2" t="n">
        <f aca="false">ROUND('Raw Data'!P304,2)</f>
        <v>-805.35</v>
      </c>
      <c r="H304" s="2" t="str">
        <f aca="false">IF('Raw Data'!S304="","Medium",'Raw Data'!S304)</f>
        <v>Medium</v>
      </c>
      <c r="I304" s="2" t="str">
        <f aca="false">IF(E304&lt;100,"Small",IF(E304&lt;500,"Medium",IF(E304&lt;1500,"Large","Very Large")))</f>
        <v>Very Large</v>
      </c>
    </row>
    <row r="305" customFormat="false" ht="15" hidden="false" customHeight="false" outlineLevel="0" collapsed="false">
      <c r="A305" s="2" t="str">
        <f aca="false">'Raw Data'!A305</f>
        <v>ORD-14385</v>
      </c>
      <c r="B305" s="2" t="str">
        <f aca="false">IFERROR(DATEVALUE('Raw Data'!B305),"Check Format")</f>
        <v>Check Format</v>
      </c>
      <c r="C305" s="2" t="str">
        <f aca="false">IF('Raw Data'!E305="",IFERROR(INDEX('Raw Data'!$E$2:$E$501,MATCH('Raw Data'!D305,'Raw Data'!$D$2:$D$501,0)),"Unknown Customer"),'Raw Data'!E305)</f>
        <v>Amanda Jones</v>
      </c>
      <c r="D305" s="2" t="str">
        <f aca="false">PROPER(TRIM('Raw Data'!G305))</f>
        <v>St. Louis</v>
      </c>
      <c r="E305" s="2" t="n">
        <f aca="false">ROUND(VALUE(SUBSTITUTE(TRIM('Raw Data'!M305),"$","")),2)</f>
        <v>1037.61</v>
      </c>
      <c r="F305" s="2" t="n">
        <f aca="false">IF('Raw Data'!O305="",0,'Raw Data'!O305)</f>
        <v>0.5</v>
      </c>
      <c r="G305" s="2" t="n">
        <f aca="false">ROUND('Raw Data'!P305,2)</f>
        <v>-74.78</v>
      </c>
      <c r="H305" s="2" t="str">
        <f aca="false">IF('Raw Data'!S305="","Medium",'Raw Data'!S305)</f>
        <v>Low</v>
      </c>
      <c r="I305" s="2" t="str">
        <f aca="false">IF(E305&lt;100,"Small",IF(E305&lt;500,"Medium",IF(E305&lt;1500,"Large","Very Large")))</f>
        <v>Large</v>
      </c>
    </row>
    <row r="306" customFormat="false" ht="15" hidden="false" customHeight="false" outlineLevel="0" collapsed="false">
      <c r="A306" s="2" t="str">
        <f aca="false">'Raw Data'!A306</f>
        <v>ORD-9209</v>
      </c>
      <c r="B306" s="3" t="n">
        <f aca="false">IFERROR(DATEVALUE('Raw Data'!B306),"Check Format")</f>
        <v>45895</v>
      </c>
      <c r="C306" s="2" t="str">
        <f aca="false">IF('Raw Data'!E306="",IFERROR(INDEX('Raw Data'!$E$2:$E$501,MATCH('Raw Data'!D306,'Raw Data'!$D$2:$D$501,0)),"Unknown Customer"),'Raw Data'!E306)</f>
        <v>Ashley Waller</v>
      </c>
      <c r="D306" s="2" t="str">
        <f aca="false">PROPER(TRIM('Raw Data'!G306))</f>
        <v>Las Vegas</v>
      </c>
      <c r="E306" s="2" t="n">
        <f aca="false">ROUND(VALUE(SUBSTITUTE(TRIM('Raw Data'!M306),"$","")),2)</f>
        <v>1351.8</v>
      </c>
      <c r="F306" s="2" t="n">
        <f aca="false">IF('Raw Data'!O306="",0,'Raw Data'!O306)</f>
        <v>0</v>
      </c>
      <c r="G306" s="2" t="n">
        <f aca="false">ROUND('Raw Data'!P306,2)</f>
        <v>267.89</v>
      </c>
      <c r="H306" s="2" t="str">
        <f aca="false">IF('Raw Data'!S306="","Medium",'Raw Data'!S306)</f>
        <v>Medium</v>
      </c>
      <c r="I306" s="2" t="str">
        <f aca="false">IF(E306&lt;100,"Small",IF(E306&lt;500,"Medium",IF(E306&lt;1500,"Large","Very Large")))</f>
        <v>Large</v>
      </c>
    </row>
    <row r="307" customFormat="false" ht="15" hidden="false" customHeight="false" outlineLevel="0" collapsed="false">
      <c r="A307" s="2" t="str">
        <f aca="false">'Raw Data'!A307</f>
        <v>ORD-7764</v>
      </c>
      <c r="B307" s="2" t="str">
        <f aca="false">IFERROR(DATEVALUE('Raw Data'!B307),"Check Format")</f>
        <v>Check Format</v>
      </c>
      <c r="C307" s="2" t="str">
        <f aca="false">IF('Raw Data'!E307="",IFERROR(INDEX('Raw Data'!$E$2:$E$501,MATCH('Raw Data'!D307,'Raw Data'!$D$2:$D$501,0)),"Unknown Customer"),'Raw Data'!E307)</f>
        <v>Randy Smith</v>
      </c>
      <c r="D307" s="2" t="str">
        <f aca="false">PROPER(TRIM('Raw Data'!G307))</f>
        <v>San Diego</v>
      </c>
      <c r="E307" s="2" t="n">
        <f aca="false">ROUND(VALUE(SUBSTITUTE(TRIM('Raw Data'!M307),"$","")),2)</f>
        <v>37.2</v>
      </c>
      <c r="F307" s="2" t="n">
        <f aca="false">IF('Raw Data'!O307="",0,'Raw Data'!O307)</f>
        <v>0.1</v>
      </c>
      <c r="G307" s="2" t="n">
        <f aca="false">ROUND('Raw Data'!P307,2)</f>
        <v>3.21</v>
      </c>
      <c r="H307" s="2" t="str">
        <f aca="false">IF('Raw Data'!S307="","Medium",'Raw Data'!S307)</f>
        <v>Low</v>
      </c>
      <c r="I307" s="2" t="str">
        <f aca="false">IF(E307&lt;100,"Small",IF(E307&lt;500,"Medium",IF(E307&lt;1500,"Large","Very Large")))</f>
        <v>Small</v>
      </c>
    </row>
    <row r="308" customFormat="false" ht="15" hidden="false" customHeight="false" outlineLevel="0" collapsed="false">
      <c r="A308" s="2" t="str">
        <f aca="false">'Raw Data'!A308</f>
        <v>ORD-6367</v>
      </c>
      <c r="B308" s="3" t="n">
        <f aca="false">IFERROR(DATEVALUE('Raw Data'!B308),"Check Format")</f>
        <v>45244</v>
      </c>
      <c r="C308" s="2" t="str">
        <f aca="false">IF('Raw Data'!E308="",IFERROR(INDEX('Raw Data'!$E$2:$E$501,MATCH('Raw Data'!D308,'Raw Data'!$D$2:$D$501,0)),"Unknown Customer"),'Raw Data'!E308)</f>
        <v>David Reynolds</v>
      </c>
      <c r="D308" s="2" t="str">
        <f aca="false">PROPER(TRIM('Raw Data'!G308))</f>
        <v>Memphis</v>
      </c>
      <c r="E308" s="2" t="n">
        <f aca="false">ROUND(VALUE(SUBSTITUTE(TRIM('Raw Data'!M308),"$","")),2)</f>
        <v>337.83</v>
      </c>
      <c r="F308" s="2" t="n">
        <f aca="false">IF('Raw Data'!O308="",0,'Raw Data'!O308)</f>
        <v>0</v>
      </c>
      <c r="G308" s="2" t="n">
        <f aca="false">ROUND('Raw Data'!P308,2)</f>
        <v>97.52</v>
      </c>
      <c r="H308" s="2" t="str">
        <f aca="false">IF('Raw Data'!S308="","Medium",'Raw Data'!S308)</f>
        <v>Low</v>
      </c>
      <c r="I308" s="2" t="str">
        <f aca="false">IF(E308&lt;100,"Small",IF(E308&lt;500,"Medium",IF(E308&lt;1500,"Large","Very Large")))</f>
        <v>Medium</v>
      </c>
    </row>
    <row r="309" customFormat="false" ht="15" hidden="false" customHeight="false" outlineLevel="0" collapsed="false">
      <c r="A309" s="2" t="str">
        <f aca="false">'Raw Data'!A309</f>
        <v>ORD-11789</v>
      </c>
      <c r="B309" s="3" t="n">
        <f aca="false">IFERROR(DATEVALUE('Raw Data'!B309),"Check Format")</f>
        <v>45949</v>
      </c>
      <c r="C309" s="2" t="str">
        <f aca="false">IF('Raw Data'!E309="",IFERROR(INDEX('Raw Data'!$E$2:$E$501,MATCH('Raw Data'!D309,'Raw Data'!$D$2:$D$501,0)),"Unknown Customer"),'Raw Data'!E309)</f>
        <v>Raymond Chapman</v>
      </c>
      <c r="D309" s="2" t="str">
        <f aca="false">PROPER(TRIM('Raw Data'!G309))</f>
        <v>Louisville</v>
      </c>
      <c r="E309" s="2" t="n">
        <f aca="false">ROUND(VALUE(SUBSTITUTE(TRIM('Raw Data'!M309),"$","")),2)</f>
        <v>764.8</v>
      </c>
      <c r="F309" s="2" t="n">
        <f aca="false">IF('Raw Data'!O309="",0,'Raw Data'!O309)</f>
        <v>0</v>
      </c>
      <c r="G309" s="2" t="n">
        <f aca="false">ROUND('Raw Data'!P309,2)</f>
        <v>156.91</v>
      </c>
      <c r="H309" s="2" t="str">
        <f aca="false">IF('Raw Data'!S309="","Medium",'Raw Data'!S309)</f>
        <v>Medium</v>
      </c>
      <c r="I309" s="2" t="str">
        <f aca="false">IF(E309&lt;100,"Small",IF(E309&lt;500,"Medium",IF(E309&lt;1500,"Large","Very Large")))</f>
        <v>Large</v>
      </c>
    </row>
    <row r="310" customFormat="false" ht="15" hidden="false" customHeight="false" outlineLevel="0" collapsed="false">
      <c r="A310" s="2" t="str">
        <f aca="false">'Raw Data'!A310</f>
        <v>ORD-5601</v>
      </c>
      <c r="B310" s="3" t="n">
        <f aca="false">IFERROR(DATEVALUE('Raw Data'!B310),"Check Format")</f>
        <v>46161</v>
      </c>
      <c r="C310" s="2" t="str">
        <f aca="false">IF('Raw Data'!E310="",IFERROR(INDEX('Raw Data'!$E$2:$E$501,MATCH('Raw Data'!D310,'Raw Data'!$D$2:$D$501,0)),"Unknown Customer"),'Raw Data'!E310)</f>
        <v>Christine Goodwin</v>
      </c>
      <c r="D310" s="2" t="str">
        <f aca="false">PROPER(TRIM('Raw Data'!G310))</f>
        <v>Minneapolis</v>
      </c>
      <c r="E310" s="2" t="n">
        <f aca="false">ROUND(VALUE(SUBSTITUTE(TRIM('Raw Data'!M310),"$","")),2)</f>
        <v>2043.68</v>
      </c>
      <c r="F310" s="2" t="n">
        <f aca="false">IF('Raw Data'!O310="",0,'Raw Data'!O310)</f>
        <v>0.2</v>
      </c>
      <c r="G310" s="2" t="n">
        <f aca="false">ROUND('Raw Data'!P310,2)</f>
        <v>432.86</v>
      </c>
      <c r="H310" s="2" t="str">
        <f aca="false">IF('Raw Data'!S310="","Medium",'Raw Data'!S310)</f>
        <v>Low</v>
      </c>
      <c r="I310" s="2" t="str">
        <f aca="false">IF(E310&lt;100,"Small",IF(E310&lt;500,"Medium",IF(E310&lt;1500,"Large","Very Large")))</f>
        <v>Very Large</v>
      </c>
    </row>
    <row r="311" customFormat="false" ht="15" hidden="false" customHeight="false" outlineLevel="0" collapsed="false">
      <c r="A311" s="2" t="str">
        <f aca="false">'Raw Data'!A311</f>
        <v>ORD-11488</v>
      </c>
      <c r="B311" s="3" t="n">
        <f aca="false">IFERROR(DATEVALUE('Raw Data'!B311),"Check Format")</f>
        <v>45802</v>
      </c>
      <c r="C311" s="2" t="n">
        <f aca="false">IF('Raw Data'!E311="",IFERROR(INDEX('Raw Data'!$E$2:$E$501,MATCH('Raw Data'!D311,'Raw Data'!$D$2:$D$501,0)),"Unknown Customer"),'Raw Data'!E311)</f>
        <v>0</v>
      </c>
      <c r="D311" s="2" t="str">
        <f aca="false">PROPER(TRIM('Raw Data'!G311))</f>
        <v>Raleigh</v>
      </c>
      <c r="E311" s="2" t="n">
        <f aca="false">ROUND(VALUE(SUBSTITUTE(TRIM('Raw Data'!M311),"$","")),2)</f>
        <v>947.4</v>
      </c>
      <c r="F311" s="2" t="n">
        <f aca="false">IF('Raw Data'!O311="",0,'Raw Data'!O311)</f>
        <v>0</v>
      </c>
      <c r="G311" s="2" t="n">
        <f aca="false">ROUND('Raw Data'!P311,2)</f>
        <v>326.89</v>
      </c>
      <c r="H311" s="2" t="str">
        <f aca="false">IF('Raw Data'!S311="","Medium",'Raw Data'!S311)</f>
        <v>Critical</v>
      </c>
      <c r="I311" s="2" t="str">
        <f aca="false">IF(E311&lt;100,"Small",IF(E311&lt;500,"Medium",IF(E311&lt;1500,"Large","Very Large")))</f>
        <v>Large</v>
      </c>
    </row>
    <row r="312" customFormat="false" ht="15" hidden="false" customHeight="false" outlineLevel="0" collapsed="false">
      <c r="A312" s="2" t="str">
        <f aca="false">'Raw Data'!A312</f>
        <v>ORD-6807</v>
      </c>
      <c r="B312" s="3" t="n">
        <f aca="false">IFERROR(DATEVALUE('Raw Data'!B312),"Check Format")</f>
        <v>45336</v>
      </c>
      <c r="C312" s="2" t="str">
        <f aca="false">IF('Raw Data'!E312="",IFERROR(INDEX('Raw Data'!$E$2:$E$501,MATCH('Raw Data'!D312,'Raw Data'!$D$2:$D$501,0)),"Unknown Customer"),'Raw Data'!E312)</f>
        <v>Brandon Bailey MD</v>
      </c>
      <c r="D312" s="2" t="str">
        <f aca="false">PROPER(TRIM('Raw Data'!G312))</f>
        <v/>
      </c>
      <c r="E312" s="2" t="n">
        <f aca="false">ROUND(VALUE(SUBSTITUTE(TRIM('Raw Data'!M312),"$","")),2)</f>
        <v>65.1</v>
      </c>
      <c r="F312" s="2" t="n">
        <f aca="false">IF('Raw Data'!O312="",0,'Raw Data'!O312)</f>
        <v>0</v>
      </c>
      <c r="G312" s="2" t="n">
        <f aca="false">ROUND('Raw Data'!P312,2)</f>
        <v>15.68</v>
      </c>
      <c r="H312" s="2" t="str">
        <f aca="false">IF('Raw Data'!S312="","Medium",'Raw Data'!S312)</f>
        <v>Medium</v>
      </c>
      <c r="I312" s="2" t="str">
        <f aca="false">IF(E312&lt;100,"Small",IF(E312&lt;500,"Medium",IF(E312&lt;1500,"Large","Very Large")))</f>
        <v>Small</v>
      </c>
    </row>
    <row r="313" customFormat="false" ht="15" hidden="false" customHeight="false" outlineLevel="0" collapsed="false">
      <c r="A313" s="2" t="str">
        <f aca="false">'Raw Data'!A313</f>
        <v>ORD-15941</v>
      </c>
      <c r="B313" s="3" t="n">
        <f aca="false">IFERROR(DATEVALUE('Raw Data'!B313),"Check Format")</f>
        <v>46003</v>
      </c>
      <c r="C313" s="2" t="str">
        <f aca="false">IF('Raw Data'!E313="",IFERROR(INDEX('Raw Data'!$E$2:$E$501,MATCH('Raw Data'!D313,'Raw Data'!$D$2:$D$501,0)),"Unknown Customer"),'Raw Data'!E313)</f>
        <v>Marie Thompson</v>
      </c>
      <c r="D313" s="2" t="str">
        <f aca="false">PROPER(TRIM('Raw Data'!G313))</f>
        <v>Buffalo</v>
      </c>
      <c r="E313" s="2" t="n">
        <f aca="false">ROUND(VALUE(SUBSTITUTE(TRIM('Raw Data'!M313),"$","")),2)</f>
        <v>2926.2</v>
      </c>
      <c r="F313" s="2" t="n">
        <f aca="false">IF('Raw Data'!O313="",0,'Raw Data'!O313)</f>
        <v>0</v>
      </c>
      <c r="G313" s="2" t="n">
        <f aca="false">ROUND('Raw Data'!P313,2)</f>
        <v>1271.85</v>
      </c>
      <c r="H313" s="2" t="str">
        <f aca="false">IF('Raw Data'!S313="","Medium",'Raw Data'!S313)</f>
        <v>Critical</v>
      </c>
      <c r="I313" s="2" t="str">
        <f aca="false">IF(E313&lt;100,"Small",IF(E313&lt;500,"Medium",IF(E313&lt;1500,"Large","Very Large")))</f>
        <v>Very Large</v>
      </c>
    </row>
    <row r="314" customFormat="false" ht="15" hidden="false" customHeight="false" outlineLevel="0" collapsed="false">
      <c r="A314" s="2" t="str">
        <f aca="false">'Raw Data'!A314</f>
        <v>ORD-10439</v>
      </c>
      <c r="B314" s="2" t="str">
        <f aca="false">IFERROR(DATEVALUE('Raw Data'!B314),"Check Format")</f>
        <v>Check Format</v>
      </c>
      <c r="C314" s="2" t="str">
        <f aca="false">IF('Raw Data'!E314="",IFERROR(INDEX('Raw Data'!$E$2:$E$501,MATCH('Raw Data'!D314,'Raw Data'!$D$2:$D$501,0)),"Unknown Customer"),'Raw Data'!E314)</f>
        <v>Keith Jennings</v>
      </c>
      <c r="D314" s="2" t="str">
        <f aca="false">PROPER(TRIM('Raw Data'!G314))</f>
        <v>New Orleans</v>
      </c>
      <c r="E314" s="2" t="n">
        <f aca="false">ROUND(VALUE(SUBSTITUTE(TRIM('Raw Data'!M314),"$","")),2)</f>
        <v>123.96</v>
      </c>
      <c r="F314" s="2" t="n">
        <f aca="false">IF('Raw Data'!O314="",0,'Raw Data'!O314)</f>
        <v>0</v>
      </c>
      <c r="G314" s="2" t="n">
        <f aca="false">ROUND('Raw Data'!P314,2)</f>
        <v>18.69</v>
      </c>
      <c r="H314" s="2" t="str">
        <f aca="false">IF('Raw Data'!S314="","Medium",'Raw Data'!S314)</f>
        <v>Critical</v>
      </c>
      <c r="I314" s="2" t="str">
        <f aca="false">IF(E314&lt;100,"Small",IF(E314&lt;500,"Medium",IF(E314&lt;1500,"Large","Very Large")))</f>
        <v>Medium</v>
      </c>
    </row>
    <row r="315" customFormat="false" ht="15" hidden="false" customHeight="false" outlineLevel="0" collapsed="false">
      <c r="A315" s="2" t="str">
        <f aca="false">'Raw Data'!A315</f>
        <v>ORD-3788</v>
      </c>
      <c r="B315" s="2" t="str">
        <f aca="false">IFERROR(DATEVALUE('Raw Data'!B315),"Check Format")</f>
        <v>Check Format</v>
      </c>
      <c r="C315" s="2" t="str">
        <f aca="false">IF('Raw Data'!E315="",IFERROR(INDEX('Raw Data'!$E$2:$E$501,MATCH('Raw Data'!D315,'Raw Data'!$D$2:$D$501,0)),"Unknown Customer"),'Raw Data'!E315)</f>
        <v>Jeremy Mitchell</v>
      </c>
      <c r="D315" s="2" t="str">
        <f aca="false">PROPER(TRIM('Raw Data'!G315))</f>
        <v>Louisville</v>
      </c>
      <c r="E315" s="2" t="n">
        <f aca="false">ROUND(VALUE(SUBSTITUTE(TRIM('Raw Data'!M315),"$","")),2)</f>
        <v>613.13</v>
      </c>
      <c r="F315" s="2" t="n">
        <f aca="false">IF('Raw Data'!O315="",0,'Raw Data'!O315)</f>
        <v>0</v>
      </c>
      <c r="G315" s="2" t="n">
        <f aca="false">ROUND('Raw Data'!P315,2)</f>
        <v>172.49</v>
      </c>
      <c r="H315" s="2" t="str">
        <f aca="false">IF('Raw Data'!S315="","Medium",'Raw Data'!S315)</f>
        <v>Critical</v>
      </c>
      <c r="I315" s="2" t="str">
        <f aca="false">IF(E315&lt;100,"Small",IF(E315&lt;500,"Medium",IF(E315&lt;1500,"Large","Very Large")))</f>
        <v>Large</v>
      </c>
    </row>
    <row r="316" customFormat="false" ht="15" hidden="false" customHeight="false" outlineLevel="0" collapsed="false">
      <c r="A316" s="2" t="str">
        <f aca="false">'Raw Data'!A316</f>
        <v>ORD-12187</v>
      </c>
      <c r="B316" s="3" t="n">
        <f aca="false">IFERROR(DATEVALUE('Raw Data'!B316),"Check Format")</f>
        <v>45743</v>
      </c>
      <c r="C316" s="2" t="str">
        <f aca="false">IF('Raw Data'!E316="",IFERROR(INDEX('Raw Data'!$E$2:$E$501,MATCH('Raw Data'!D316,'Raw Data'!$D$2:$D$501,0)),"Unknown Customer"),'Raw Data'!E316)</f>
        <v>Kimberly Choi</v>
      </c>
      <c r="D316" s="2" t="str">
        <f aca="false">PROPER(TRIM('Raw Data'!G316))</f>
        <v>Chicago</v>
      </c>
      <c r="E316" s="2" t="n">
        <f aca="false">ROUND(VALUE(SUBSTITUTE(TRIM('Raw Data'!M316),"$","")),2)</f>
        <v>2882.52</v>
      </c>
      <c r="F316" s="2" t="n">
        <f aca="false">IF('Raw Data'!O316="",0,'Raw Data'!O316)</f>
        <v>0</v>
      </c>
      <c r="G316" s="2" t="n">
        <f aca="false">ROUND('Raw Data'!P316,2)</f>
        <v>1254.15</v>
      </c>
      <c r="H316" s="2" t="str">
        <f aca="false">IF('Raw Data'!S316="","Medium",'Raw Data'!S316)</f>
        <v>Low</v>
      </c>
      <c r="I316" s="2" t="str">
        <f aca="false">IF(E316&lt;100,"Small",IF(E316&lt;500,"Medium",IF(E316&lt;1500,"Large","Very Large")))</f>
        <v>Very Large</v>
      </c>
    </row>
    <row r="317" customFormat="false" ht="15" hidden="false" customHeight="false" outlineLevel="0" collapsed="false">
      <c r="A317" s="2" t="str">
        <f aca="false">'Raw Data'!A317</f>
        <v>ORD-9573</v>
      </c>
      <c r="B317" s="3" t="n">
        <f aca="false">IFERROR(DATEVALUE('Raw Data'!B317),"Check Format")</f>
        <v>45394</v>
      </c>
      <c r="C317" s="2" t="str">
        <f aca="false">IF('Raw Data'!E317="",IFERROR(INDEX('Raw Data'!$E$2:$E$501,MATCH('Raw Data'!D317,'Raw Data'!$D$2:$D$501,0)),"Unknown Customer"),'Raw Data'!E317)</f>
        <v>Megan Green</v>
      </c>
      <c r="D317" s="2" t="str">
        <f aca="false">PROPER(TRIM('Raw Data'!G317))</f>
        <v>New Orleans</v>
      </c>
      <c r="E317" s="2" t="n">
        <f aca="false">ROUND(VALUE(SUBSTITUTE(TRIM('Raw Data'!M317),"$","")),2)</f>
        <v>776.6</v>
      </c>
      <c r="F317" s="2" t="n">
        <f aca="false">IF('Raw Data'!O317="",0,'Raw Data'!O317)</f>
        <v>0.2</v>
      </c>
      <c r="G317" s="2" t="n">
        <f aca="false">ROUND('Raw Data'!P317,2)</f>
        <v>172.99</v>
      </c>
      <c r="H317" s="2" t="str">
        <f aca="false">IF('Raw Data'!S317="","Medium",'Raw Data'!S317)</f>
        <v>Medium</v>
      </c>
      <c r="I317" s="2" t="str">
        <f aca="false">IF(E317&lt;100,"Small",IF(E317&lt;500,"Medium",IF(E317&lt;1500,"Large","Very Large")))</f>
        <v>Large</v>
      </c>
    </row>
    <row r="318" customFormat="false" ht="15" hidden="false" customHeight="false" outlineLevel="0" collapsed="false">
      <c r="A318" s="2" t="str">
        <f aca="false">'Raw Data'!A318</f>
        <v>ORD-7400</v>
      </c>
      <c r="B318" s="3" t="n">
        <f aca="false">IFERROR(DATEVALUE('Raw Data'!B318),"Check Format")</f>
        <v>45304</v>
      </c>
      <c r="C318" s="2" t="str">
        <f aca="false">IF('Raw Data'!E318="",IFERROR(INDEX('Raw Data'!$E$2:$E$501,MATCH('Raw Data'!D318,'Raw Data'!$D$2:$D$501,0)),"Unknown Customer"),'Raw Data'!E318)</f>
        <v>Stephanie Salazar</v>
      </c>
      <c r="D318" s="2" t="str">
        <f aca="false">PROPER(TRIM('Raw Data'!G318))</f>
        <v>Minneapolis</v>
      </c>
      <c r="E318" s="2" t="n">
        <f aca="false">ROUND(VALUE(SUBSTITUTE(TRIM('Raw Data'!M318),"$","")),2)</f>
        <v>120</v>
      </c>
      <c r="F318" s="2" t="n">
        <f aca="false">IF('Raw Data'!O318="",0,'Raw Data'!O318)</f>
        <v>0</v>
      </c>
      <c r="G318" s="2" t="n">
        <f aca="false">ROUND('Raw Data'!P318,2)</f>
        <v>28.04</v>
      </c>
      <c r="H318" s="2" t="str">
        <f aca="false">IF('Raw Data'!S318="","Medium",'Raw Data'!S318)</f>
        <v>Low</v>
      </c>
      <c r="I318" s="2" t="str">
        <f aca="false">IF(E318&lt;100,"Small",IF(E318&lt;500,"Medium",IF(E318&lt;1500,"Large","Very Large")))</f>
        <v>Medium</v>
      </c>
    </row>
    <row r="319" customFormat="false" ht="15" hidden="false" customHeight="false" outlineLevel="0" collapsed="false">
      <c r="A319" s="2" t="str">
        <f aca="false">'Raw Data'!A319</f>
        <v>ORD-8589</v>
      </c>
      <c r="B319" s="3" t="n">
        <f aca="false">IFERROR(DATEVALUE('Raw Data'!B319),"Check Format")</f>
        <v>45426</v>
      </c>
      <c r="C319" s="2" t="str">
        <f aca="false">IF('Raw Data'!E319="",IFERROR(INDEX('Raw Data'!$E$2:$E$501,MATCH('Raw Data'!D319,'Raw Data'!$D$2:$D$501,0)),"Unknown Customer"),'Raw Data'!E319)</f>
        <v>Debra Morton</v>
      </c>
      <c r="D319" s="2" t="str">
        <f aca="false">PROPER(TRIM('Raw Data'!G319))</f>
        <v>Spokane</v>
      </c>
      <c r="E319" s="2" t="n">
        <f aca="false">ROUND(VALUE(SUBSTITUTE(TRIM('Raw Data'!M319),"$","")),2)</f>
        <v>169.92</v>
      </c>
      <c r="F319" s="2" t="n">
        <f aca="false">IF('Raw Data'!O319="",0,'Raw Data'!O319)</f>
        <v>0.1</v>
      </c>
      <c r="G319" s="2" t="n">
        <f aca="false">ROUND('Raw Data'!P319,2)</f>
        <v>21.21</v>
      </c>
      <c r="H319" s="2" t="str">
        <f aca="false">IF('Raw Data'!S319="","Medium",'Raw Data'!S319)</f>
        <v>High</v>
      </c>
      <c r="I319" s="2" t="str">
        <f aca="false">IF(E319&lt;100,"Small",IF(E319&lt;500,"Medium",IF(E319&lt;1500,"Large","Very Large")))</f>
        <v>Medium</v>
      </c>
    </row>
    <row r="320" customFormat="false" ht="15" hidden="false" customHeight="false" outlineLevel="0" collapsed="false">
      <c r="A320" s="2" t="str">
        <f aca="false">'Raw Data'!A320</f>
        <v>ORD-11011</v>
      </c>
      <c r="B320" s="3" t="n">
        <f aca="false">IFERROR(DATEVALUE('Raw Data'!B320),"Check Format")</f>
        <v>45515</v>
      </c>
      <c r="C320" s="2" t="str">
        <f aca="false">IF('Raw Data'!E320="",IFERROR(INDEX('Raw Data'!$E$2:$E$501,MATCH('Raw Data'!D320,'Raw Data'!$D$2:$D$501,0)),"Unknown Customer"),'Raw Data'!E320)</f>
        <v>Catherine Frazier</v>
      </c>
      <c r="D320" s="2" t="str">
        <f aca="false">PROPER(TRIM('Raw Data'!G320))</f>
        <v>Cleveland</v>
      </c>
      <c r="E320" s="2" t="n">
        <f aca="false">ROUND(VALUE(SUBSTITUTE(TRIM('Raw Data'!M320),"$","")),2)</f>
        <v>4324.08</v>
      </c>
      <c r="F320" s="2" t="n">
        <f aca="false">IF('Raw Data'!O320="",0,'Raw Data'!O320)</f>
        <v>0.4</v>
      </c>
      <c r="G320" s="2" t="n">
        <f aca="false">ROUND('Raw Data'!P320,2)</f>
        <v>-374.96</v>
      </c>
      <c r="H320" s="2" t="str">
        <f aca="false">IF('Raw Data'!S320="","Medium",'Raw Data'!S320)</f>
        <v>High</v>
      </c>
      <c r="I320" s="2" t="str">
        <f aca="false">IF(E320&lt;100,"Small",IF(E320&lt;500,"Medium",IF(E320&lt;1500,"Large","Very Large")))</f>
        <v>Very Large</v>
      </c>
    </row>
    <row r="321" customFormat="false" ht="15" hidden="false" customHeight="false" outlineLevel="0" collapsed="false">
      <c r="A321" s="2" t="str">
        <f aca="false">'Raw Data'!A321</f>
        <v>ORD-6646</v>
      </c>
      <c r="B321" s="3" t="n">
        <f aca="false">IFERROR(DATEVALUE('Raw Data'!B321),"Check Format")</f>
        <v>45689</v>
      </c>
      <c r="C321" s="2" t="str">
        <f aca="false">IF('Raw Data'!E321="",IFERROR(INDEX('Raw Data'!$E$2:$E$501,MATCH('Raw Data'!D321,'Raw Data'!$D$2:$D$501,0)),"Unknown Customer"),'Raw Data'!E321)</f>
        <v>Jerry Jensen</v>
      </c>
      <c r="D321" s="2" t="str">
        <f aca="false">PROPER(TRIM('Raw Data'!G321))</f>
        <v>Eugene</v>
      </c>
      <c r="E321" s="2" t="n">
        <f aca="false">ROUND(VALUE(SUBSTITUTE(TRIM('Raw Data'!M321),"$","")),2)</f>
        <v>199.74</v>
      </c>
      <c r="F321" s="2" t="n">
        <f aca="false">IF('Raw Data'!O321="",0,'Raw Data'!O321)</f>
        <v>0.5</v>
      </c>
      <c r="G321" s="2" t="n">
        <f aca="false">ROUND('Raw Data'!P321,2)</f>
        <v>-15</v>
      </c>
      <c r="H321" s="2" t="str">
        <f aca="false">IF('Raw Data'!S321="","Medium",'Raw Data'!S321)</f>
        <v>Medium</v>
      </c>
      <c r="I321" s="2" t="str">
        <f aca="false">IF(E321&lt;100,"Small",IF(E321&lt;500,"Medium",IF(E321&lt;1500,"Large","Very Large")))</f>
        <v>Medium</v>
      </c>
    </row>
    <row r="322" customFormat="false" ht="15" hidden="false" customHeight="false" outlineLevel="0" collapsed="false">
      <c r="A322" s="2" t="str">
        <f aca="false">'Raw Data'!A322</f>
        <v>ORD-17383</v>
      </c>
      <c r="B322" s="3" t="n">
        <f aca="false">IFERROR(DATEVALUE('Raw Data'!B322),"Check Format")</f>
        <v>46152</v>
      </c>
      <c r="C322" s="2" t="str">
        <f aca="false">IF('Raw Data'!E322="",IFERROR(INDEX('Raw Data'!$E$2:$E$501,MATCH('Raw Data'!D322,'Raw Data'!$D$2:$D$501,0)),"Unknown Customer"),'Raw Data'!E322)</f>
        <v>Paul Wilson</v>
      </c>
      <c r="D322" s="2" t="str">
        <f aca="false">PROPER(TRIM('Raw Data'!G322))</f>
        <v>San Francisco</v>
      </c>
      <c r="E322" s="2" t="n">
        <f aca="false">ROUND(VALUE(SUBSTITUTE(TRIM('Raw Data'!M322),"$","")),2)</f>
        <v>111.35</v>
      </c>
      <c r="F322" s="2" t="n">
        <f aca="false">IF('Raw Data'!O322="",0,'Raw Data'!O322)</f>
        <v>0</v>
      </c>
      <c r="G322" s="2" t="n">
        <f aca="false">ROUND('Raw Data'!P322,2)</f>
        <v>36.82</v>
      </c>
      <c r="H322" s="2" t="str">
        <f aca="false">IF('Raw Data'!S322="","Medium",'Raw Data'!S322)</f>
        <v>Critical</v>
      </c>
      <c r="I322" s="2" t="str">
        <f aca="false">IF(E322&lt;100,"Small",IF(E322&lt;500,"Medium",IF(E322&lt;1500,"Large","Very Large")))</f>
        <v>Medium</v>
      </c>
    </row>
    <row r="323" customFormat="false" ht="15" hidden="false" customHeight="false" outlineLevel="0" collapsed="false">
      <c r="A323" s="2" t="str">
        <f aca="false">'Raw Data'!A323</f>
        <v>ORD-10033</v>
      </c>
      <c r="B323" s="2" t="str">
        <f aca="false">IFERROR(DATEVALUE('Raw Data'!B323),"Check Format")</f>
        <v>Check Format</v>
      </c>
      <c r="C323" s="2" t="str">
        <f aca="false">IF('Raw Data'!E323="",IFERROR(INDEX('Raw Data'!$E$2:$E$501,MATCH('Raw Data'!D323,'Raw Data'!$D$2:$D$501,0)),"Unknown Customer"),'Raw Data'!E323)</f>
        <v>Brian Porter MD</v>
      </c>
      <c r="D323" s="2" t="str">
        <f aca="false">PROPER(TRIM('Raw Data'!G323))</f>
        <v>Boston</v>
      </c>
      <c r="E323" s="2" t="n">
        <f aca="false">ROUND(VALUE(SUBSTITUTE(TRIM('Raw Data'!M323),"$","")),2)</f>
        <v>127.9</v>
      </c>
      <c r="F323" s="2" t="n">
        <f aca="false">IF('Raw Data'!O323="",0,'Raw Data'!O323)</f>
        <v>0.1</v>
      </c>
      <c r="G323" s="2" t="n">
        <f aca="false">ROUND('Raw Data'!P323,2)</f>
        <v>0</v>
      </c>
      <c r="H323" s="2" t="str">
        <f aca="false">IF('Raw Data'!S323="","Medium",'Raw Data'!S323)</f>
        <v>Medium</v>
      </c>
      <c r="I323" s="2" t="str">
        <f aca="false">IF(E323&lt;100,"Small",IF(E323&lt;500,"Medium",IF(E323&lt;1500,"Large","Very Large")))</f>
        <v>Medium</v>
      </c>
    </row>
    <row r="324" customFormat="false" ht="15" hidden="false" customHeight="false" outlineLevel="0" collapsed="false">
      <c r="A324" s="2" t="str">
        <f aca="false">'Raw Data'!A324</f>
        <v>ORD-7500</v>
      </c>
      <c r="B324" s="3" t="n">
        <f aca="false">IFERROR(DATEVALUE('Raw Data'!B324),"Check Format")</f>
        <v>45170</v>
      </c>
      <c r="C324" s="2" t="str">
        <f aca="false">IF('Raw Data'!E324="",IFERROR(INDEX('Raw Data'!$E$2:$E$501,MATCH('Raw Data'!D324,'Raw Data'!$D$2:$D$501,0)),"Unknown Customer"),'Raw Data'!E324)</f>
        <v>Karen Gomez</v>
      </c>
      <c r="D324" s="2" t="str">
        <f aca="false">PROPER(TRIM('Raw Data'!G324))</f>
        <v>Las Vegas</v>
      </c>
      <c r="E324" s="2" t="n">
        <f aca="false">ROUND(VALUE(SUBSTITUTE(TRIM('Raw Data'!M324),"$","")),2)</f>
        <v>464.24</v>
      </c>
      <c r="F324" s="2" t="n">
        <f aca="false">IF('Raw Data'!O324="",0,'Raw Data'!O324)</f>
        <v>0.3</v>
      </c>
      <c r="G324" s="2" t="n">
        <f aca="false">ROUND('Raw Data'!P324,2)</f>
        <v>17.62</v>
      </c>
      <c r="H324" s="2" t="str">
        <f aca="false">IF('Raw Data'!S324="","Medium",'Raw Data'!S324)</f>
        <v>Critical</v>
      </c>
      <c r="I324" s="2" t="str">
        <f aca="false">IF(E324&lt;100,"Small",IF(E324&lt;500,"Medium",IF(E324&lt;1500,"Large","Very Large")))</f>
        <v>Medium</v>
      </c>
    </row>
    <row r="325" customFormat="false" ht="15" hidden="false" customHeight="false" outlineLevel="0" collapsed="false">
      <c r="A325" s="2" t="str">
        <f aca="false">'Raw Data'!A325</f>
        <v>ORD-9778</v>
      </c>
      <c r="B325" s="2" t="str">
        <f aca="false">IFERROR(DATEVALUE('Raw Data'!B325),"Check Format")</f>
        <v>Check Format</v>
      </c>
      <c r="C325" s="2" t="str">
        <f aca="false">IF('Raw Data'!E325="",IFERROR(INDEX('Raw Data'!$E$2:$E$501,MATCH('Raw Data'!D325,'Raw Data'!$D$2:$D$501,0)),"Unknown Customer"),'Raw Data'!E325)</f>
        <v>Holly Scott</v>
      </c>
      <c r="D325" s="2" t="str">
        <f aca="false">PROPER(TRIM('Raw Data'!G325))</f>
        <v>Boston</v>
      </c>
      <c r="E325" s="2" t="n">
        <f aca="false">ROUND(VALUE(SUBSTITUTE(TRIM('Raw Data'!M325),"$","")),2)</f>
        <v>2394.06</v>
      </c>
      <c r="F325" s="2" t="n">
        <f aca="false">IF('Raw Data'!O325="",0,'Raw Data'!O325)</f>
        <v>0</v>
      </c>
      <c r="G325" s="2" t="n">
        <f aca="false">ROUND('Raw Data'!P325,2)</f>
        <v>963.71</v>
      </c>
      <c r="H325" s="2" t="str">
        <f aca="false">IF('Raw Data'!S325="","Medium",'Raw Data'!S325)</f>
        <v>Low</v>
      </c>
      <c r="I325" s="2" t="str">
        <f aca="false">IF(E325&lt;100,"Small",IF(E325&lt;500,"Medium",IF(E325&lt;1500,"Large","Very Large")))</f>
        <v>Very Large</v>
      </c>
    </row>
    <row r="326" customFormat="false" ht="15" hidden="false" customHeight="false" outlineLevel="0" collapsed="false">
      <c r="A326" s="2" t="str">
        <f aca="false">'Raw Data'!A326</f>
        <v>ORD-4546</v>
      </c>
      <c r="B326" s="3" t="n">
        <f aca="false">IFERROR(DATEVALUE('Raw Data'!B326),"Check Format")</f>
        <v>45810</v>
      </c>
      <c r="C326" s="2" t="str">
        <f aca="false">IF('Raw Data'!E326="",IFERROR(INDEX('Raw Data'!$E$2:$E$501,MATCH('Raw Data'!D326,'Raw Data'!$D$2:$D$501,0)),"Unknown Customer"),'Raw Data'!E326)</f>
        <v>Emma Butler</v>
      </c>
      <c r="D326" s="2" t="str">
        <f aca="false">PROPER(TRIM('Raw Data'!G326))</f>
        <v>Philadelphia</v>
      </c>
      <c r="E326" s="2" t="n">
        <f aca="false">ROUND(VALUE(SUBSTITUTE(TRIM('Raw Data'!M326),"$","")),2)</f>
        <v>1270.56</v>
      </c>
      <c r="F326" s="2" t="n">
        <f aca="false">IF('Raw Data'!O326="",0,'Raw Data'!O326)</f>
        <v>0.1</v>
      </c>
      <c r="G326" s="2" t="n">
        <f aca="false">ROUND('Raw Data'!P326,2)</f>
        <v>267.97</v>
      </c>
      <c r="H326" s="2" t="str">
        <f aca="false">IF('Raw Data'!S326="","Medium",'Raw Data'!S326)</f>
        <v>High</v>
      </c>
      <c r="I326" s="2" t="str">
        <f aca="false">IF(E326&lt;100,"Small",IF(E326&lt;500,"Medium",IF(E326&lt;1500,"Large","Very Large")))</f>
        <v>Large</v>
      </c>
    </row>
    <row r="327" customFormat="false" ht="15" hidden="false" customHeight="false" outlineLevel="0" collapsed="false">
      <c r="A327" s="2" t="str">
        <f aca="false">'Raw Data'!A327</f>
        <v>ORD-5460</v>
      </c>
      <c r="B327" s="3" t="n">
        <f aca="false">IFERROR(DATEVALUE('Raw Data'!B327),"Check Format")</f>
        <v>45874</v>
      </c>
      <c r="C327" s="2" t="str">
        <f aca="false">IF('Raw Data'!E327="",IFERROR(INDEX('Raw Data'!$E$2:$E$501,MATCH('Raw Data'!D327,'Raw Data'!$D$2:$D$501,0)),"Unknown Customer"),'Raw Data'!E327)</f>
        <v>Samuel Wong</v>
      </c>
      <c r="D327" s="2" t="str">
        <f aca="false">PROPER(TRIM('Raw Data'!G327))</f>
        <v>Minneapolis</v>
      </c>
      <c r="E327" s="2" t="n">
        <f aca="false">ROUND(VALUE(SUBSTITUTE(TRIM('Raw Data'!M327),"$","")),2)</f>
        <v>8601.12</v>
      </c>
      <c r="F327" s="2" t="n">
        <f aca="false">IF('Raw Data'!O327="",0,'Raw Data'!O327)</f>
        <v>0.15</v>
      </c>
      <c r="G327" s="2" t="n">
        <f aca="false">ROUND('Raw Data'!P327,2)</f>
        <v>80.89</v>
      </c>
      <c r="H327" s="2" t="str">
        <f aca="false">IF('Raw Data'!S327="","Medium",'Raw Data'!S327)</f>
        <v>High</v>
      </c>
      <c r="I327" s="2" t="str">
        <f aca="false">IF(E327&lt;100,"Small",IF(E327&lt;500,"Medium",IF(E327&lt;1500,"Large","Very Large")))</f>
        <v>Very Large</v>
      </c>
    </row>
    <row r="328" customFormat="false" ht="15" hidden="false" customHeight="false" outlineLevel="0" collapsed="false">
      <c r="A328" s="2" t="str">
        <f aca="false">'Raw Data'!A328</f>
        <v>ORD-4314</v>
      </c>
      <c r="B328" s="3" t="n">
        <f aca="false">IFERROR(DATEVALUE('Raw Data'!B328),"Check Format")</f>
        <v>45960</v>
      </c>
      <c r="C328" s="2" t="str">
        <f aca="false">IF('Raw Data'!E328="",IFERROR(INDEX('Raw Data'!$E$2:$E$501,MATCH('Raw Data'!D328,'Raw Data'!$D$2:$D$501,0)),"Unknown Customer"),'Raw Data'!E328)</f>
        <v>Kimberly Gutierrez</v>
      </c>
      <c r="D328" s="2" t="str">
        <f aca="false">PROPER(TRIM('Raw Data'!G328))</f>
        <v>New Orleans</v>
      </c>
      <c r="E328" s="2" t="n">
        <f aca="false">ROUND(VALUE(SUBSTITUTE(TRIM('Raw Data'!M328),"$","")),2)</f>
        <v>61.68</v>
      </c>
      <c r="F328" s="2" t="n">
        <f aca="false">IF('Raw Data'!O328="",0,'Raw Data'!O328)</f>
        <v>0</v>
      </c>
      <c r="G328" s="2" t="n">
        <f aca="false">ROUND('Raw Data'!P328,2)</f>
        <v>-2.27</v>
      </c>
      <c r="H328" s="2" t="str">
        <f aca="false">IF('Raw Data'!S328="","Medium",'Raw Data'!S328)</f>
        <v>Medium</v>
      </c>
      <c r="I328" s="2" t="str">
        <f aca="false">IF(E328&lt;100,"Small",IF(E328&lt;500,"Medium",IF(E328&lt;1500,"Large","Very Large")))</f>
        <v>Small</v>
      </c>
    </row>
    <row r="329" customFormat="false" ht="15" hidden="false" customHeight="false" outlineLevel="0" collapsed="false">
      <c r="A329" s="2" t="str">
        <f aca="false">'Raw Data'!A329</f>
        <v>ORD-5178</v>
      </c>
      <c r="B329" s="3" t="n">
        <f aca="false">IFERROR(DATEVALUE('Raw Data'!B329),"Check Format")</f>
        <v>45782</v>
      </c>
      <c r="C329" s="2" t="str">
        <f aca="false">IF('Raw Data'!E329="",IFERROR(INDEX('Raw Data'!$E$2:$E$501,MATCH('Raw Data'!D329,'Raw Data'!$D$2:$D$501,0)),"Unknown Customer"),'Raw Data'!E329)</f>
        <v>Anna Estes</v>
      </c>
      <c r="D329" s="2" t="str">
        <f aca="false">PROPER(TRIM('Raw Data'!G329))</f>
        <v>Cleveland</v>
      </c>
      <c r="E329" s="2" t="n">
        <f aca="false">ROUND(VALUE(SUBSTITUTE(TRIM('Raw Data'!M329),"$","")),2)</f>
        <v>113.49</v>
      </c>
      <c r="F329" s="2" t="n">
        <f aca="false">IF('Raw Data'!O329="",0,'Raw Data'!O329)</f>
        <v>0.1</v>
      </c>
      <c r="G329" s="2" t="n">
        <f aca="false">ROUND('Raw Data'!P329,2)</f>
        <v>26.79</v>
      </c>
      <c r="H329" s="2" t="str">
        <f aca="false">IF('Raw Data'!S329="","Medium",'Raw Data'!S329)</f>
        <v>High</v>
      </c>
      <c r="I329" s="2" t="str">
        <f aca="false">IF(E329&lt;100,"Small",IF(E329&lt;500,"Medium",IF(E329&lt;1500,"Large","Very Large")))</f>
        <v>Medium</v>
      </c>
    </row>
    <row r="330" customFormat="false" ht="15" hidden="false" customHeight="false" outlineLevel="0" collapsed="false">
      <c r="A330" s="2" t="str">
        <f aca="false">'Raw Data'!A330</f>
        <v>ORD-13730</v>
      </c>
      <c r="B330" s="3" t="n">
        <f aca="false">IFERROR(DATEVALUE('Raw Data'!B330),"Check Format")</f>
        <v>46213</v>
      </c>
      <c r="C330" s="2" t="str">
        <f aca="false">IF('Raw Data'!E330="",IFERROR(INDEX('Raw Data'!$E$2:$E$501,MATCH('Raw Data'!D330,'Raw Data'!$D$2:$D$501,0)),"Unknown Customer"),'Raw Data'!E330)</f>
        <v>Matthew Harrington</v>
      </c>
      <c r="D330" s="2" t="str">
        <f aca="false">PROPER(TRIM('Raw Data'!G330))</f>
        <v>Louisville</v>
      </c>
      <c r="E330" s="2" t="n">
        <f aca="false">ROUND(VALUE(SUBSTITUTE(TRIM('Raw Data'!M330),"$","")),2)</f>
        <v>7878.6</v>
      </c>
      <c r="F330" s="2" t="n">
        <f aca="false">IF('Raw Data'!O330="",0,'Raw Data'!O330)</f>
        <v>0.15</v>
      </c>
      <c r="G330" s="2" t="n">
        <f aca="false">ROUND('Raw Data'!P330,2)</f>
        <v>54.34</v>
      </c>
      <c r="H330" s="2" t="str">
        <f aca="false">IF('Raw Data'!S330="","Medium",'Raw Data'!S330)</f>
        <v>Critical</v>
      </c>
      <c r="I330" s="2" t="str">
        <f aca="false">IF(E330&lt;100,"Small",IF(E330&lt;500,"Medium",IF(E330&lt;1500,"Large","Very Large")))</f>
        <v>Very Large</v>
      </c>
    </row>
    <row r="331" customFormat="false" ht="15" hidden="false" customHeight="false" outlineLevel="0" collapsed="false">
      <c r="A331" s="2" t="str">
        <f aca="false">'Raw Data'!A331</f>
        <v>ORD-12334</v>
      </c>
      <c r="B331" s="3" t="n">
        <f aca="false">IFERROR(DATEVALUE('Raw Data'!B331),"Check Format")</f>
        <v>45887</v>
      </c>
      <c r="C331" s="2" t="str">
        <f aca="false">IF('Raw Data'!E331="",IFERROR(INDEX('Raw Data'!$E$2:$E$501,MATCH('Raw Data'!D331,'Raw Data'!$D$2:$D$501,0)),"Unknown Customer"),'Raw Data'!E331)</f>
        <v>Ronald Potter</v>
      </c>
      <c r="D331" s="2" t="str">
        <f aca="false">PROPER(TRIM('Raw Data'!G331))</f>
        <v>Jersey City</v>
      </c>
      <c r="E331" s="2" t="n">
        <f aca="false">ROUND(VALUE(SUBSTITUTE(TRIM('Raw Data'!M331),"$","")),2)</f>
        <v>1566.8</v>
      </c>
      <c r="F331" s="2" t="n">
        <f aca="false">IF('Raw Data'!O331="",0,'Raw Data'!O331)</f>
        <v>0</v>
      </c>
      <c r="G331" s="2" t="n">
        <f aca="false">ROUND('Raw Data'!P331,2)</f>
        <v>537.26</v>
      </c>
      <c r="H331" s="2" t="str">
        <f aca="false">IF('Raw Data'!S331="","Medium",'Raw Data'!S331)</f>
        <v>Low</v>
      </c>
      <c r="I331" s="2" t="str">
        <f aca="false">IF(E331&lt;100,"Small",IF(E331&lt;500,"Medium",IF(E331&lt;1500,"Large","Very Large")))</f>
        <v>Very Large</v>
      </c>
    </row>
    <row r="332" customFormat="false" ht="15" hidden="false" customHeight="false" outlineLevel="0" collapsed="false">
      <c r="A332" s="2" t="str">
        <f aca="false">'Raw Data'!A332</f>
        <v>ORD-9675</v>
      </c>
      <c r="B332" s="3" t="n">
        <f aca="false">IFERROR(DATEVALUE('Raw Data'!B332),"Check Format")</f>
        <v>46133</v>
      </c>
      <c r="C332" s="2" t="str">
        <f aca="false">IF('Raw Data'!E332="",IFERROR(INDEX('Raw Data'!$E$2:$E$501,MATCH('Raw Data'!D332,'Raw Data'!$D$2:$D$501,0)),"Unknown Customer"),'Raw Data'!E332)</f>
        <v>Shannon Walker</v>
      </c>
      <c r="D332" s="2" t="str">
        <f aca="false">PROPER(TRIM('Raw Data'!G332))</f>
        <v>Chicago</v>
      </c>
      <c r="E332" s="2" t="n">
        <f aca="false">ROUND(VALUE(SUBSTITUTE(TRIM('Raw Data'!M332),"$","")),2)</f>
        <v>346.2</v>
      </c>
      <c r="F332" s="2" t="n">
        <f aca="false">IF('Raw Data'!O332="",0,'Raw Data'!O332)</f>
        <v>0.3</v>
      </c>
      <c r="G332" s="2" t="n">
        <f aca="false">ROUND('Raw Data'!P332,2)</f>
        <v>-34.12</v>
      </c>
      <c r="H332" s="2" t="str">
        <f aca="false">IF('Raw Data'!S332="","Medium",'Raw Data'!S332)</f>
        <v>Medium</v>
      </c>
      <c r="I332" s="2" t="str">
        <f aca="false">IF(E332&lt;100,"Small",IF(E332&lt;500,"Medium",IF(E332&lt;1500,"Large","Very Large")))</f>
        <v>Medium</v>
      </c>
    </row>
    <row r="333" customFormat="false" ht="15" hidden="false" customHeight="false" outlineLevel="0" collapsed="false">
      <c r="A333" s="2" t="str">
        <f aca="false">'Raw Data'!A333</f>
        <v>ORD-11595</v>
      </c>
      <c r="B333" s="3" t="n">
        <f aca="false">IFERROR(DATEVALUE('Raw Data'!B333),"Check Format")</f>
        <v>45816</v>
      </c>
      <c r="C333" s="2" t="str">
        <f aca="false">IF('Raw Data'!E333="",IFERROR(INDEX('Raw Data'!$E$2:$E$501,MATCH('Raw Data'!D333,'Raw Data'!$D$2:$D$501,0)),"Unknown Customer"),'Raw Data'!E333)</f>
        <v>Patrick Thornton</v>
      </c>
      <c r="D333" s="2" t="str">
        <f aca="false">PROPER(TRIM('Raw Data'!G333))</f>
        <v>Denver</v>
      </c>
      <c r="E333" s="2" t="n">
        <f aca="false">ROUND(VALUE(SUBSTITUTE(TRIM('Raw Data'!M333),"$","")),2)</f>
        <v>176.72</v>
      </c>
      <c r="F333" s="2" t="n">
        <f aca="false">IF('Raw Data'!O333="",0,'Raw Data'!O333)</f>
        <v>0.5</v>
      </c>
      <c r="G333" s="2" t="n">
        <f aca="false">ROUND('Raw Data'!P333,2)</f>
        <v>-35.21</v>
      </c>
      <c r="H333" s="2" t="str">
        <f aca="false">IF('Raw Data'!S333="","Medium",'Raw Data'!S333)</f>
        <v>Medium</v>
      </c>
      <c r="I333" s="2" t="str">
        <f aca="false">IF(E333&lt;100,"Small",IF(E333&lt;500,"Medium",IF(E333&lt;1500,"Large","Very Large")))</f>
        <v>Medium</v>
      </c>
    </row>
    <row r="334" customFormat="false" ht="15" hidden="false" customHeight="false" outlineLevel="0" collapsed="false">
      <c r="A334" s="2" t="str">
        <f aca="false">'Raw Data'!A334</f>
        <v>ORD-4924</v>
      </c>
      <c r="B334" s="2" t="str">
        <f aca="false">IFERROR(DATEVALUE('Raw Data'!B334),"Check Format")</f>
        <v>Check Format</v>
      </c>
      <c r="C334" s="2" t="str">
        <f aca="false">IF('Raw Data'!E334="",IFERROR(INDEX('Raw Data'!$E$2:$E$501,MATCH('Raw Data'!D334,'Raw Data'!$D$2:$D$501,0)),"Unknown Customer"),'Raw Data'!E334)</f>
        <v>William Gould</v>
      </c>
      <c r="D334" s="2" t="str">
        <f aca="false">PROPER(TRIM('Raw Data'!G334))</f>
        <v>Ann Arbor</v>
      </c>
      <c r="E334" s="2" t="n">
        <f aca="false">ROUND(VALUE(SUBSTITUTE(TRIM('Raw Data'!M334),"$","")),2)</f>
        <v>1708.3</v>
      </c>
      <c r="F334" s="2" t="n">
        <f aca="false">IF('Raw Data'!O334="",0,'Raw Data'!O334)</f>
        <v>0</v>
      </c>
      <c r="G334" s="2" t="n">
        <f aca="false">ROUND('Raw Data'!P334,2)</f>
        <v>349.19</v>
      </c>
      <c r="H334" s="2" t="str">
        <f aca="false">IF('Raw Data'!S334="","Medium",'Raw Data'!S334)</f>
        <v>Medium</v>
      </c>
      <c r="I334" s="2" t="str">
        <f aca="false">IF(E334&lt;100,"Small",IF(E334&lt;500,"Medium",IF(E334&lt;1500,"Large","Very Large")))</f>
        <v>Very Large</v>
      </c>
    </row>
    <row r="335" customFormat="false" ht="15" hidden="false" customHeight="false" outlineLevel="0" collapsed="false">
      <c r="A335" s="2" t="str">
        <f aca="false">'Raw Data'!A335</f>
        <v>ORD-4456</v>
      </c>
      <c r="B335" s="3" t="n">
        <f aca="false">IFERROR(DATEVALUE('Raw Data'!B335),"Check Format")</f>
        <v>45735</v>
      </c>
      <c r="C335" s="2" t="str">
        <f aca="false">IF('Raw Data'!E335="",IFERROR(INDEX('Raw Data'!$E$2:$E$501,MATCH('Raw Data'!D335,'Raw Data'!$D$2:$D$501,0)),"Unknown Customer"),'Raw Data'!E335)</f>
        <v>Kevin Oconnor</v>
      </c>
      <c r="D335" s="2" t="str">
        <f aca="false">PROPER(TRIM('Raw Data'!G335))</f>
        <v>Miami</v>
      </c>
      <c r="E335" s="2" t="n">
        <f aca="false">ROUND(VALUE(SUBSTITUTE(TRIM('Raw Data'!M335),"$","")),2)</f>
        <v>3761.73</v>
      </c>
      <c r="F335" s="2" t="n">
        <f aca="false">IF('Raw Data'!O335="",0,'Raw Data'!O335)</f>
        <v>0</v>
      </c>
      <c r="G335" s="2" t="n">
        <f aca="false">ROUND('Raw Data'!P335,2)</f>
        <v>1654.77</v>
      </c>
      <c r="H335" s="2" t="str">
        <f aca="false">IF('Raw Data'!S335="","Medium",'Raw Data'!S335)</f>
        <v>Medium</v>
      </c>
      <c r="I335" s="2" t="str">
        <f aca="false">IF(E335&lt;100,"Small",IF(E335&lt;500,"Medium",IF(E335&lt;1500,"Large","Very Large")))</f>
        <v>Very Large</v>
      </c>
    </row>
    <row r="336" customFormat="false" ht="15" hidden="false" customHeight="false" outlineLevel="0" collapsed="false">
      <c r="A336" s="2" t="str">
        <f aca="false">'Raw Data'!A336</f>
        <v>ORD-3242</v>
      </c>
      <c r="B336" s="3" t="n">
        <f aca="false">IFERROR(DATEVALUE('Raw Data'!B336),"Check Format")</f>
        <v>45358</v>
      </c>
      <c r="C336" s="2" t="str">
        <f aca="false">IF('Raw Data'!E336="",IFERROR(INDEX('Raw Data'!$E$2:$E$501,MATCH('Raw Data'!D336,'Raw Data'!$D$2:$D$501,0)),"Unknown Customer"),'Raw Data'!E336)</f>
        <v>William Herrera</v>
      </c>
      <c r="D336" s="2" t="str">
        <f aca="false">PROPER(TRIM('Raw Data'!G336))</f>
        <v>Cleveland</v>
      </c>
      <c r="E336" s="2" t="n">
        <f aca="false">ROUND(VALUE(SUBSTITUTE(TRIM('Raw Data'!M336),"$","")),2)</f>
        <v>4900.2</v>
      </c>
      <c r="F336" s="2" t="n">
        <f aca="false">IF('Raw Data'!O336="",0,'Raw Data'!O336)</f>
        <v>0.3</v>
      </c>
      <c r="G336" s="2" t="n">
        <f aca="false">ROUND('Raw Data'!P336,2)</f>
        <v>-235.99</v>
      </c>
      <c r="H336" s="2" t="str">
        <f aca="false">IF('Raw Data'!S336="","Medium",'Raw Data'!S336)</f>
        <v>High</v>
      </c>
      <c r="I336" s="2" t="str">
        <f aca="false">IF(E336&lt;100,"Small",IF(E336&lt;500,"Medium",IF(E336&lt;1500,"Large","Very Large")))</f>
        <v>Very Large</v>
      </c>
    </row>
    <row r="337" customFormat="false" ht="15" hidden="false" customHeight="false" outlineLevel="0" collapsed="false">
      <c r="A337" s="2" t="str">
        <f aca="false">'Raw Data'!A337</f>
        <v>ORD-3505</v>
      </c>
      <c r="B337" s="3" t="n">
        <f aca="false">IFERROR(DATEVALUE('Raw Data'!B337),"Check Format")</f>
        <v>45794</v>
      </c>
      <c r="C337" s="2" t="str">
        <f aca="false">IF('Raw Data'!E337="",IFERROR(INDEX('Raw Data'!$E$2:$E$501,MATCH('Raw Data'!D337,'Raw Data'!$D$2:$D$501,0)),"Unknown Customer"),'Raw Data'!E337)</f>
        <v>Joshua Rice</v>
      </c>
      <c r="D337" s="2" t="str">
        <f aca="false">PROPER(TRIM('Raw Data'!G337))</f>
        <v>Philadelphia</v>
      </c>
      <c r="E337" s="2" t="n">
        <f aca="false">ROUND(VALUE(SUBSTITUTE(TRIM('Raw Data'!M337),"$","")),2)</f>
        <v>3388.8</v>
      </c>
      <c r="F337" s="2" t="n">
        <f aca="false">IF('Raw Data'!O337="",0,'Raw Data'!O337)</f>
        <v>0.4</v>
      </c>
      <c r="G337" s="2" t="n">
        <f aca="false">ROUND('Raw Data'!P337,2)</f>
        <v>-600.52</v>
      </c>
      <c r="H337" s="2" t="str">
        <f aca="false">IF('Raw Data'!S337="","Medium",'Raw Data'!S337)</f>
        <v>Medium</v>
      </c>
      <c r="I337" s="2" t="str">
        <f aca="false">IF(E337&lt;100,"Small",IF(E337&lt;500,"Medium",IF(E337&lt;1500,"Large","Very Large")))</f>
        <v>Very Large</v>
      </c>
    </row>
    <row r="338" customFormat="false" ht="15" hidden="false" customHeight="false" outlineLevel="0" collapsed="false">
      <c r="A338" s="2" t="str">
        <f aca="false">'Raw Data'!A338</f>
        <v>ORD-14150</v>
      </c>
      <c r="B338" s="3" t="n">
        <f aca="false">IFERROR(DATEVALUE('Raw Data'!B338),"Check Format")</f>
        <v>45653</v>
      </c>
      <c r="C338" s="2" t="str">
        <f aca="false">IF('Raw Data'!E338="",IFERROR(INDEX('Raw Data'!$E$2:$E$501,MATCH('Raw Data'!D338,'Raw Data'!$D$2:$D$501,0)),"Unknown Customer"),'Raw Data'!E338)</f>
        <v>Kelly Johnson</v>
      </c>
      <c r="D338" s="2" t="str">
        <f aca="false">PROPER(TRIM('Raw Data'!G338))</f>
        <v>Buffalo</v>
      </c>
      <c r="E338" s="2" t="n">
        <f aca="false">ROUND(VALUE(SUBSTITUTE(TRIM('Raw Data'!M338),"$","")),2)</f>
        <v>377.7</v>
      </c>
      <c r="F338" s="2" t="n">
        <f aca="false">IF('Raw Data'!O338="",0,'Raw Data'!O338)</f>
        <v>0</v>
      </c>
      <c r="G338" s="2" t="n">
        <f aca="false">ROUND('Raw Data'!P338,2)</f>
        <v>129.94</v>
      </c>
      <c r="H338" s="2" t="str">
        <f aca="false">IF('Raw Data'!S338="","Medium",'Raw Data'!S338)</f>
        <v>Medium</v>
      </c>
      <c r="I338" s="2" t="str">
        <f aca="false">IF(E338&lt;100,"Small",IF(E338&lt;500,"Medium",IF(E338&lt;1500,"Large","Very Large")))</f>
        <v>Medium</v>
      </c>
    </row>
    <row r="339" customFormat="false" ht="15" hidden="false" customHeight="false" outlineLevel="0" collapsed="false">
      <c r="A339" s="2" t="str">
        <f aca="false">'Raw Data'!A339</f>
        <v>ORD-8972</v>
      </c>
      <c r="B339" s="3" t="n">
        <f aca="false">IFERROR(DATEVALUE('Raw Data'!B339),"Check Format")</f>
        <v>45540</v>
      </c>
      <c r="C339" s="2" t="str">
        <f aca="false">IF('Raw Data'!E339="",IFERROR(INDEX('Raw Data'!$E$2:$E$501,MATCH('Raw Data'!D339,'Raw Data'!$D$2:$D$501,0)),"Unknown Customer"),'Raw Data'!E339)</f>
        <v>Derrick Brown</v>
      </c>
      <c r="D339" s="2" t="str">
        <f aca="false">PROPER(TRIM('Raw Data'!G339))</f>
        <v>Birmingham</v>
      </c>
      <c r="E339" s="2" t="n">
        <f aca="false">ROUND(VALUE(SUBSTITUTE(TRIM('Raw Data'!M339),"$","")),2)</f>
        <v>181.23</v>
      </c>
      <c r="F339" s="2" t="n">
        <f aca="false">IF('Raw Data'!O339="",0,'Raw Data'!O339)</f>
        <v>0</v>
      </c>
      <c r="G339" s="2" t="n">
        <f aca="false">ROUND('Raw Data'!P339,2)</f>
        <v>74.37</v>
      </c>
      <c r="H339" s="2" t="str">
        <f aca="false">IF('Raw Data'!S339="","Medium",'Raw Data'!S339)</f>
        <v>Low</v>
      </c>
      <c r="I339" s="2" t="str">
        <f aca="false">IF(E339&lt;100,"Small",IF(E339&lt;500,"Medium",IF(E339&lt;1500,"Large","Very Large")))</f>
        <v>Medium</v>
      </c>
    </row>
    <row r="340" customFormat="false" ht="15" hidden="false" customHeight="false" outlineLevel="0" collapsed="false">
      <c r="A340" s="2" t="str">
        <f aca="false">'Raw Data'!A340</f>
        <v>ORD-12382</v>
      </c>
      <c r="B340" s="3" t="n">
        <f aca="false">IFERROR(DATEVALUE('Raw Data'!B340),"Check Format")</f>
        <v>46155</v>
      </c>
      <c r="C340" s="2" t="str">
        <f aca="false">IF('Raw Data'!E340="",IFERROR(INDEX('Raw Data'!$E$2:$E$501,MATCH('Raw Data'!D340,'Raw Data'!$D$2:$D$501,0)),"Unknown Customer"),'Raw Data'!E340)</f>
        <v>Krista Benton</v>
      </c>
      <c r="D340" s="2" t="str">
        <f aca="false">PROPER(TRIM('Raw Data'!G340))</f>
        <v>Reno</v>
      </c>
      <c r="E340" s="2" t="n">
        <f aca="false">ROUND(VALUE(SUBSTITUTE(TRIM('Raw Data'!M340),"$","")),2)</f>
        <v>226.17</v>
      </c>
      <c r="F340" s="2" t="n">
        <f aca="false">IF('Raw Data'!O340="",0,'Raw Data'!O340)</f>
        <v>0.4</v>
      </c>
      <c r="G340" s="2" t="n">
        <f aca="false">ROUND('Raw Data'!P340,2)</f>
        <v>7.37</v>
      </c>
      <c r="H340" s="2" t="str">
        <f aca="false">IF('Raw Data'!S340="","Medium",'Raw Data'!S340)</f>
        <v>High</v>
      </c>
      <c r="I340" s="2" t="str">
        <f aca="false">IF(E340&lt;100,"Small",IF(E340&lt;500,"Medium",IF(E340&lt;1500,"Large","Very Large")))</f>
        <v>Medium</v>
      </c>
    </row>
    <row r="341" customFormat="false" ht="15" hidden="false" customHeight="false" outlineLevel="0" collapsed="false">
      <c r="A341" s="2" t="str">
        <f aca="false">'Raw Data'!A341</f>
        <v>ORD-10540</v>
      </c>
      <c r="B341" s="3" t="n">
        <f aca="false">IFERROR(DATEVALUE('Raw Data'!B341),"Check Format")</f>
        <v>45322</v>
      </c>
      <c r="C341" s="2" t="str">
        <f aca="false">IF('Raw Data'!E341="",IFERROR(INDEX('Raw Data'!$E$2:$E$501,MATCH('Raw Data'!D341,'Raw Data'!$D$2:$D$501,0)),"Unknown Customer"),'Raw Data'!E341)</f>
        <v>James Jefferson</v>
      </c>
      <c r="D341" s="2" t="str">
        <f aca="false">PROPER(TRIM('Raw Data'!G341))</f>
        <v>Minneapolis</v>
      </c>
      <c r="E341" s="2" t="n">
        <f aca="false">ROUND(VALUE(SUBSTITUTE(TRIM('Raw Data'!M341),"$","")),2)</f>
        <v>1180.08</v>
      </c>
      <c r="F341" s="2" t="n">
        <f aca="false">IF('Raw Data'!O341="",0,'Raw Data'!O341)</f>
        <v>0.4</v>
      </c>
      <c r="G341" s="2" t="n">
        <f aca="false">ROUND('Raw Data'!P341,2)</f>
        <v>33.7</v>
      </c>
      <c r="H341" s="2" t="str">
        <f aca="false">IF('Raw Data'!S341="","Medium",'Raw Data'!S341)</f>
        <v>Medium</v>
      </c>
      <c r="I341" s="2" t="str">
        <f aca="false">IF(E341&lt;100,"Small",IF(E341&lt;500,"Medium",IF(E341&lt;1500,"Large","Very Large")))</f>
        <v>Large</v>
      </c>
    </row>
    <row r="342" customFormat="false" ht="15" hidden="false" customHeight="false" outlineLevel="0" collapsed="false">
      <c r="A342" s="2" t="str">
        <f aca="false">'Raw Data'!A342</f>
        <v>ORD-16428</v>
      </c>
      <c r="B342" s="3" t="n">
        <f aca="false">IFERROR(DATEVALUE('Raw Data'!B342),"Check Format")</f>
        <v>45363</v>
      </c>
      <c r="C342" s="2" t="str">
        <f aca="false">IF('Raw Data'!E342="",IFERROR(INDEX('Raw Data'!$E$2:$E$501,MATCH('Raw Data'!D342,'Raw Data'!$D$2:$D$501,0)),"Unknown Customer"),'Raw Data'!E342)</f>
        <v>Lisa Allen</v>
      </c>
      <c r="D342" s="2" t="str">
        <f aca="false">PROPER(TRIM('Raw Data'!G342))</f>
        <v>New York City</v>
      </c>
      <c r="E342" s="2" t="n">
        <f aca="false">ROUND(VALUE(SUBSTITUTE(TRIM('Raw Data'!M342),"$","")),2)</f>
        <v>272.69</v>
      </c>
      <c r="F342" s="2" t="n">
        <f aca="false">IF('Raw Data'!O342="",0,'Raw Data'!O342)</f>
        <v>0</v>
      </c>
      <c r="G342" s="2" t="n">
        <f aca="false">ROUND('Raw Data'!P342,2)</f>
        <v>117.38</v>
      </c>
      <c r="H342" s="2" t="str">
        <f aca="false">IF('Raw Data'!S342="","Medium",'Raw Data'!S342)</f>
        <v>High</v>
      </c>
      <c r="I342" s="2" t="str">
        <f aca="false">IF(E342&lt;100,"Small",IF(E342&lt;500,"Medium",IF(E342&lt;1500,"Large","Very Large")))</f>
        <v>Medium</v>
      </c>
    </row>
    <row r="343" customFormat="false" ht="15" hidden="false" customHeight="false" outlineLevel="0" collapsed="false">
      <c r="A343" s="2" t="str">
        <f aca="false">'Raw Data'!A343</f>
        <v>ORD-13574</v>
      </c>
      <c r="B343" s="3" t="n">
        <f aca="false">IFERROR(DATEVALUE('Raw Data'!B343),"Check Format")</f>
        <v>46041</v>
      </c>
      <c r="C343" s="2" t="str">
        <f aca="false">IF('Raw Data'!E343="",IFERROR(INDEX('Raw Data'!$E$2:$E$501,MATCH('Raw Data'!D343,'Raw Data'!$D$2:$D$501,0)),"Unknown Customer"),'Raw Data'!E343)</f>
        <v>Patrick Mccall</v>
      </c>
      <c r="D343" s="2" t="str">
        <f aca="false">PROPER(TRIM('Raw Data'!G343))</f>
        <v>Norfolk</v>
      </c>
      <c r="E343" s="2" t="n">
        <f aca="false">ROUND(VALUE(SUBSTITUTE(TRIM('Raw Data'!M343),"$","")),2)</f>
        <v>599.46</v>
      </c>
      <c r="F343" s="2" t="n">
        <f aca="false">IF('Raw Data'!O343="",0,'Raw Data'!O343)</f>
        <v>0.4</v>
      </c>
      <c r="G343" s="2" t="n">
        <f aca="false">ROUND('Raw Data'!P343,2)</f>
        <v>-130.08</v>
      </c>
      <c r="H343" s="2" t="str">
        <f aca="false">IF('Raw Data'!S343="","Medium",'Raw Data'!S343)</f>
        <v>Low</v>
      </c>
      <c r="I343" s="2" t="str">
        <f aca="false">IF(E343&lt;100,"Small",IF(E343&lt;500,"Medium",IF(E343&lt;1500,"Large","Very Large")))</f>
        <v>Large</v>
      </c>
    </row>
    <row r="344" customFormat="false" ht="15" hidden="false" customHeight="false" outlineLevel="0" collapsed="false">
      <c r="A344" s="2" t="str">
        <f aca="false">'Raw Data'!A344</f>
        <v>ORD-4535</v>
      </c>
      <c r="B344" s="2" t="str">
        <f aca="false">IFERROR(DATEVALUE('Raw Data'!B344),"Check Format")</f>
        <v>Check Format</v>
      </c>
      <c r="C344" s="2" t="str">
        <f aca="false">IF('Raw Data'!E344="",IFERROR(INDEX('Raw Data'!$E$2:$E$501,MATCH('Raw Data'!D344,'Raw Data'!$D$2:$D$501,0)),"Unknown Customer"),'Raw Data'!E344)</f>
        <v>Angela Jackson</v>
      </c>
      <c r="D344" s="2" t="str">
        <f aca="false">PROPER(TRIM('Raw Data'!G344))</f>
        <v>San Diego</v>
      </c>
      <c r="E344" s="2" t="n">
        <f aca="false">ROUND(VALUE(SUBSTITUTE(TRIM('Raw Data'!M344),"$","")),2)</f>
        <v>1243.56</v>
      </c>
      <c r="F344" s="2" t="n">
        <f aca="false">IF('Raw Data'!O344="",0,'Raw Data'!O344)</f>
        <v>0.15</v>
      </c>
      <c r="G344" s="2" t="n">
        <f aca="false">ROUND('Raw Data'!P344,2)</f>
        <v>308.01</v>
      </c>
      <c r="H344" s="2" t="str">
        <f aca="false">IF('Raw Data'!S344="","Medium",'Raw Data'!S344)</f>
        <v>Low</v>
      </c>
      <c r="I344" s="2" t="str">
        <f aca="false">IF(E344&lt;100,"Small",IF(E344&lt;500,"Medium",IF(E344&lt;1500,"Large","Very Large")))</f>
        <v>Large</v>
      </c>
    </row>
    <row r="345" customFormat="false" ht="15" hidden="false" customHeight="false" outlineLevel="0" collapsed="false">
      <c r="A345" s="2" t="str">
        <f aca="false">'Raw Data'!A345</f>
        <v>ORD-13729</v>
      </c>
      <c r="B345" s="2" t="str">
        <f aca="false">IFERROR(DATEVALUE('Raw Data'!B345),"Check Format")</f>
        <v>Check Format</v>
      </c>
      <c r="C345" s="2" t="str">
        <f aca="false">IF('Raw Data'!E345="",IFERROR(INDEX('Raw Data'!$E$2:$E$501,MATCH('Raw Data'!D345,'Raw Data'!$D$2:$D$501,0)),"Unknown Customer"),'Raw Data'!E345)</f>
        <v>Gina Moore</v>
      </c>
      <c r="D345" s="2" t="str">
        <f aca="false">PROPER(TRIM('Raw Data'!G345))</f>
        <v>Tucson</v>
      </c>
      <c r="E345" s="2" t="n">
        <f aca="false">ROUND(VALUE(SUBSTITUTE(TRIM('Raw Data'!M345),"$","")),2)</f>
        <v>2790.5</v>
      </c>
      <c r="F345" s="2" t="n">
        <f aca="false">IF('Raw Data'!O345="",0,'Raw Data'!O345)</f>
        <v>0.5</v>
      </c>
      <c r="G345" s="2" t="n">
        <f aca="false">ROUND('Raw Data'!P345,2)</f>
        <v>-603.77</v>
      </c>
      <c r="H345" s="2" t="str">
        <f aca="false">IF('Raw Data'!S345="","Medium",'Raw Data'!S345)</f>
        <v>Low</v>
      </c>
      <c r="I345" s="2" t="str">
        <f aca="false">IF(E345&lt;100,"Small",IF(E345&lt;500,"Medium",IF(E345&lt;1500,"Large","Very Large")))</f>
        <v>Very Large</v>
      </c>
    </row>
    <row r="346" customFormat="false" ht="15" hidden="false" customHeight="false" outlineLevel="0" collapsed="false">
      <c r="A346" s="2" t="str">
        <f aca="false">'Raw Data'!A346</f>
        <v>ORD-13136</v>
      </c>
      <c r="B346" s="3" t="n">
        <f aca="false">IFERROR(DATEVALUE('Raw Data'!B346),"Check Format")</f>
        <v>45960</v>
      </c>
      <c r="C346" s="2" t="str">
        <f aca="false">IF('Raw Data'!E346="",IFERROR(INDEX('Raw Data'!$E$2:$E$501,MATCH('Raw Data'!D346,'Raw Data'!$D$2:$D$501,0)),"Unknown Customer"),'Raw Data'!E346)</f>
        <v>Tina Sanders</v>
      </c>
      <c r="D346" s="2" t="str">
        <f aca="false">PROPER(TRIM('Raw Data'!G346))</f>
        <v>Jersey City</v>
      </c>
      <c r="E346" s="2" t="n">
        <f aca="false">ROUND(VALUE(SUBSTITUTE(TRIM('Raw Data'!M346),"$","")),2)</f>
        <v>109.29</v>
      </c>
      <c r="F346" s="2" t="n">
        <f aca="false">IF('Raw Data'!O346="",0,'Raw Data'!O346)</f>
        <v>0</v>
      </c>
      <c r="G346" s="2" t="n">
        <f aca="false">ROUND('Raw Data'!P346,2)</f>
        <v>23.47</v>
      </c>
      <c r="H346" s="2" t="str">
        <f aca="false">IF('Raw Data'!S346="","Medium",'Raw Data'!S346)</f>
        <v>Medium</v>
      </c>
      <c r="I346" s="2" t="str">
        <f aca="false">IF(E346&lt;100,"Small",IF(E346&lt;500,"Medium",IF(E346&lt;1500,"Large","Very Large")))</f>
        <v>Medium</v>
      </c>
    </row>
    <row r="347" customFormat="false" ht="15" hidden="false" customHeight="false" outlineLevel="0" collapsed="false">
      <c r="A347" s="2" t="str">
        <f aca="false">'Raw Data'!A347</f>
        <v>ORD-16571</v>
      </c>
      <c r="B347" s="2" t="str">
        <f aca="false">IFERROR(DATEVALUE('Raw Data'!B347),"Check Format")</f>
        <v>Check Format</v>
      </c>
      <c r="C347" s="2" t="str">
        <f aca="false">IF('Raw Data'!E347="",IFERROR(INDEX('Raw Data'!$E$2:$E$501,MATCH('Raw Data'!D347,'Raw Data'!$D$2:$D$501,0)),"Unknown Customer"),'Raw Data'!E347)</f>
        <v>Joseph Howard</v>
      </c>
      <c r="D347" s="2" t="str">
        <f aca="false">PROPER(TRIM('Raw Data'!G347))</f>
        <v>Norfolk</v>
      </c>
      <c r="E347" s="2" t="n">
        <f aca="false">ROUND(VALUE(SUBSTITUTE(TRIM('Raw Data'!M347),"$","")),2)</f>
        <v>2606.64</v>
      </c>
      <c r="F347" s="2" t="n">
        <f aca="false">IF('Raw Data'!O347="",0,'Raw Data'!O347)</f>
        <v>0.2</v>
      </c>
      <c r="G347" s="2" t="n">
        <f aca="false">ROUND('Raw Data'!P347,2)</f>
        <v>216.75</v>
      </c>
      <c r="H347" s="2" t="str">
        <f aca="false">IF('Raw Data'!S347="","Medium",'Raw Data'!S347)</f>
        <v>Medium</v>
      </c>
      <c r="I347" s="2" t="str">
        <f aca="false">IF(E347&lt;100,"Small",IF(E347&lt;500,"Medium",IF(E347&lt;1500,"Large","Very Large")))</f>
        <v>Very Large</v>
      </c>
    </row>
    <row r="348" customFormat="false" ht="15" hidden="false" customHeight="false" outlineLevel="0" collapsed="false">
      <c r="A348" s="2" t="str">
        <f aca="false">'Raw Data'!A348</f>
        <v>ORD-11300</v>
      </c>
      <c r="B348" s="3" t="n">
        <f aca="false">IFERROR(DATEVALUE('Raw Data'!B348),"Check Format")</f>
        <v>46111</v>
      </c>
      <c r="C348" s="2" t="str">
        <f aca="false">IF('Raw Data'!E348="",IFERROR(INDEX('Raw Data'!$E$2:$E$501,MATCH('Raw Data'!D348,'Raw Data'!$D$2:$D$501,0)),"Unknown Customer"),'Raw Data'!E348)</f>
        <v>Sherry Tapia</v>
      </c>
      <c r="D348" s="2" t="str">
        <f aca="false">PROPER(TRIM('Raw Data'!G348))</f>
        <v>Raleigh</v>
      </c>
      <c r="E348" s="2" t="n">
        <f aca="false">ROUND(VALUE(SUBSTITUTE(TRIM('Raw Data'!M348),"$","")),2)</f>
        <v>1020.3</v>
      </c>
      <c r="F348" s="2" t="n">
        <f aca="false">IF('Raw Data'!O348="",0,'Raw Data'!O348)</f>
        <v>0.1</v>
      </c>
      <c r="G348" s="2" t="n">
        <f aca="false">ROUND('Raw Data'!P348,2)</f>
        <v>-1155.68</v>
      </c>
      <c r="H348" s="2" t="str">
        <f aca="false">IF('Raw Data'!S348="","Medium",'Raw Data'!S348)</f>
        <v>Low</v>
      </c>
      <c r="I348" s="2" t="str">
        <f aca="false">IF(E348&lt;100,"Small",IF(E348&lt;500,"Medium",IF(E348&lt;1500,"Large","Very Large")))</f>
        <v>Large</v>
      </c>
    </row>
    <row r="349" customFormat="false" ht="15" hidden="false" customHeight="false" outlineLevel="0" collapsed="false">
      <c r="A349" s="2" t="str">
        <f aca="false">'Raw Data'!A349</f>
        <v>ORD-18102</v>
      </c>
      <c r="B349" s="3" t="n">
        <f aca="false">IFERROR(DATEVALUE('Raw Data'!B349),"Check Format")</f>
        <v>45565</v>
      </c>
      <c r="C349" s="2" t="str">
        <f aca="false">IF('Raw Data'!E349="",IFERROR(INDEX('Raw Data'!$E$2:$E$501,MATCH('Raw Data'!D349,'Raw Data'!$D$2:$D$501,0)),"Unknown Customer"),'Raw Data'!E349)</f>
        <v>Shannon Taylor</v>
      </c>
      <c r="D349" s="2" t="str">
        <f aca="false">PROPER(TRIM('Raw Data'!G349))</f>
        <v>Portland</v>
      </c>
      <c r="E349" s="2" t="n">
        <f aca="false">ROUND(VALUE(SUBSTITUTE(TRIM('Raw Data'!M349),"$","")),2)</f>
        <v>1405.53</v>
      </c>
      <c r="F349" s="2" t="n">
        <f aca="false">IF('Raw Data'!O349="",0,'Raw Data'!O349)</f>
        <v>0.15</v>
      </c>
      <c r="G349" s="2" t="n">
        <f aca="false">ROUND('Raw Data'!P349,2)</f>
        <v>398.92</v>
      </c>
      <c r="H349" s="2" t="str">
        <f aca="false">IF('Raw Data'!S349="","Medium",'Raw Data'!S349)</f>
        <v>High</v>
      </c>
      <c r="I349" s="2" t="str">
        <f aca="false">IF(E349&lt;100,"Small",IF(E349&lt;500,"Medium",IF(E349&lt;1500,"Large","Very Large")))</f>
        <v>Large</v>
      </c>
    </row>
    <row r="350" customFormat="false" ht="15" hidden="false" customHeight="false" outlineLevel="0" collapsed="false">
      <c r="A350" s="2" t="str">
        <f aca="false">'Raw Data'!A350</f>
        <v>ORD-5730</v>
      </c>
      <c r="B350" s="2" t="str">
        <f aca="false">IFERROR(DATEVALUE('Raw Data'!B350),"Check Format")</f>
        <v>Check Format</v>
      </c>
      <c r="C350" s="2" t="str">
        <f aca="false">IF('Raw Data'!E350="",IFERROR(INDEX('Raw Data'!$E$2:$E$501,MATCH('Raw Data'!D350,'Raw Data'!$D$2:$D$501,0)),"Unknown Customer"),'Raw Data'!E350)</f>
        <v>John Anderson</v>
      </c>
      <c r="D350" s="2" t="str">
        <f aca="false">PROPER(TRIM('Raw Data'!G350))</f>
        <v>Boston</v>
      </c>
      <c r="E350" s="2" t="n">
        <f aca="false">ROUND(VALUE(SUBSTITUTE(TRIM('Raw Data'!M350),"$","")),2)</f>
        <v>3812.25</v>
      </c>
      <c r="F350" s="2" t="n">
        <f aca="false">IF('Raw Data'!O350="",0,'Raw Data'!O350)</f>
        <v>0.3</v>
      </c>
      <c r="G350" s="2" t="n">
        <f aca="false">ROUND('Raw Data'!P350,2)</f>
        <v>87.45</v>
      </c>
      <c r="H350" s="2" t="str">
        <f aca="false">IF('Raw Data'!S350="","Medium",'Raw Data'!S350)</f>
        <v>Medium</v>
      </c>
      <c r="I350" s="2" t="str">
        <f aca="false">IF(E350&lt;100,"Small",IF(E350&lt;500,"Medium",IF(E350&lt;1500,"Large","Very Large")))</f>
        <v>Very Large</v>
      </c>
    </row>
    <row r="351" customFormat="false" ht="15" hidden="false" customHeight="false" outlineLevel="0" collapsed="false">
      <c r="A351" s="2" t="str">
        <f aca="false">'Raw Data'!A351</f>
        <v>ORD-11105</v>
      </c>
      <c r="B351" s="2" t="str">
        <f aca="false">IFERROR(DATEVALUE('Raw Data'!B351),"Check Format")</f>
        <v>Check Format</v>
      </c>
      <c r="C351" s="2" t="str">
        <f aca="false">IF('Raw Data'!E351="",IFERROR(INDEX('Raw Data'!$E$2:$E$501,MATCH('Raw Data'!D351,'Raw Data'!$D$2:$D$501,0)),"Unknown Customer"),'Raw Data'!E351)</f>
        <v>Paula Moreno</v>
      </c>
      <c r="D351" s="2" t="str">
        <f aca="false">PROPER(TRIM('Raw Data'!G351))</f>
        <v>New Orleans</v>
      </c>
      <c r="E351" s="2" t="n">
        <f aca="false">ROUND(VALUE(SUBSTITUTE(TRIM('Raw Data'!M351),"$","")),2)</f>
        <v>5327.63</v>
      </c>
      <c r="F351" s="2" t="n">
        <f aca="false">IF('Raw Data'!O351="",0,'Raw Data'!O351)</f>
        <v>0.1</v>
      </c>
      <c r="G351" s="2" t="n">
        <f aca="false">ROUND('Raw Data'!P351,2)</f>
        <v>1510.17</v>
      </c>
      <c r="H351" s="2" t="str">
        <f aca="false">IF('Raw Data'!S351="","Medium",'Raw Data'!S351)</f>
        <v>Low</v>
      </c>
      <c r="I351" s="2" t="str">
        <f aca="false">IF(E351&lt;100,"Small",IF(E351&lt;500,"Medium",IF(E351&lt;1500,"Large","Very Large")))</f>
        <v>Very Large</v>
      </c>
    </row>
    <row r="352" customFormat="false" ht="15" hidden="false" customHeight="false" outlineLevel="0" collapsed="false">
      <c r="A352" s="2" t="str">
        <f aca="false">'Raw Data'!A352</f>
        <v>ORD-14066</v>
      </c>
      <c r="B352" s="2" t="str">
        <f aca="false">IFERROR(DATEVALUE('Raw Data'!B352),"Check Format")</f>
        <v>Check Format</v>
      </c>
      <c r="C352" s="2" t="str">
        <f aca="false">IF('Raw Data'!E352="",IFERROR(INDEX('Raw Data'!$E$2:$E$501,MATCH('Raw Data'!D352,'Raw Data'!$D$2:$D$501,0)),"Unknown Customer"),'Raw Data'!E352)</f>
        <v>Felicia Krueger</v>
      </c>
      <c r="D352" s="2" t="str">
        <f aca="false">PROPER(TRIM('Raw Data'!G352))</f>
        <v>Jersey City</v>
      </c>
      <c r="E352" s="2" t="n">
        <f aca="false">ROUND(VALUE(SUBSTITUTE(TRIM('Raw Data'!M352),"$","")),2)</f>
        <v>266.88</v>
      </c>
      <c r="F352" s="2" t="n">
        <f aca="false">IF('Raw Data'!O352="",0,'Raw Data'!O352)</f>
        <v>0.5</v>
      </c>
      <c r="G352" s="2" t="n">
        <f aca="false">ROUND('Raw Data'!P352,2)</f>
        <v>-89.92</v>
      </c>
      <c r="H352" s="2" t="str">
        <f aca="false">IF('Raw Data'!S352="","Medium",'Raw Data'!S352)</f>
        <v>Critical</v>
      </c>
      <c r="I352" s="2" t="str">
        <f aca="false">IF(E352&lt;100,"Small",IF(E352&lt;500,"Medium",IF(E352&lt;1500,"Large","Very Large")))</f>
        <v>Medium</v>
      </c>
    </row>
    <row r="353" customFormat="false" ht="15" hidden="false" customHeight="false" outlineLevel="0" collapsed="false">
      <c r="A353" s="2" t="str">
        <f aca="false">'Raw Data'!A353</f>
        <v>ORD-3898</v>
      </c>
      <c r="B353" s="2" t="str">
        <f aca="false">IFERROR(DATEVALUE('Raw Data'!B353),"Check Format")</f>
        <v>Check Format</v>
      </c>
      <c r="C353" s="2" t="str">
        <f aca="false">IF('Raw Data'!E353="",IFERROR(INDEX('Raw Data'!$E$2:$E$501,MATCH('Raw Data'!D353,'Raw Data'!$D$2:$D$501,0)),"Unknown Customer"),'Raw Data'!E353)</f>
        <v>Kayla Rodriguez</v>
      </c>
      <c r="D353" s="2" t="str">
        <f aca="false">PROPER(TRIM('Raw Data'!G353))</f>
        <v>Nashville</v>
      </c>
      <c r="E353" s="2" t="n">
        <f aca="false">ROUND(VALUE(SUBSTITUTE(TRIM('Raw Data'!M353),"$","")),2)</f>
        <v>6241.44</v>
      </c>
      <c r="F353" s="2" t="n">
        <f aca="false">IF('Raw Data'!O353="",0,'Raw Data'!O353)</f>
        <v>0.4</v>
      </c>
      <c r="G353" s="2" t="n">
        <f aca="false">ROUND('Raw Data'!P353,2)</f>
        <v>-1108.09</v>
      </c>
      <c r="H353" s="2" t="str">
        <f aca="false">IF('Raw Data'!S353="","Medium",'Raw Data'!S353)</f>
        <v>High</v>
      </c>
      <c r="I353" s="2" t="str">
        <f aca="false">IF(E353&lt;100,"Small",IF(E353&lt;500,"Medium",IF(E353&lt;1500,"Large","Very Large")))</f>
        <v>Very Large</v>
      </c>
    </row>
    <row r="354" customFormat="false" ht="15" hidden="false" customHeight="false" outlineLevel="0" collapsed="false">
      <c r="A354" s="2" t="str">
        <f aca="false">'Raw Data'!A354</f>
        <v>ORD-5628</v>
      </c>
      <c r="B354" s="2" t="str">
        <f aca="false">IFERROR(DATEVALUE('Raw Data'!B354),"Check Format")</f>
        <v>Check Format</v>
      </c>
      <c r="C354" s="2" t="str">
        <f aca="false">IF('Raw Data'!E354="",IFERROR(INDEX('Raw Data'!$E$2:$E$501,MATCH('Raw Data'!D354,'Raw Data'!$D$2:$D$501,0)),"Unknown Customer"),'Raw Data'!E354)</f>
        <v>Robert Cummings</v>
      </c>
      <c r="D354" s="2" t="str">
        <f aca="false">PROPER(TRIM('Raw Data'!G354))</f>
        <v>Charlotte</v>
      </c>
      <c r="E354" s="2" t="n">
        <f aca="false">ROUND(VALUE(SUBSTITUTE(TRIM('Raw Data'!M354),"$","")),2)</f>
        <v>1065.06</v>
      </c>
      <c r="F354" s="2" t="n">
        <f aca="false">IF('Raw Data'!O354="",0,'Raw Data'!O354)</f>
        <v>0</v>
      </c>
      <c r="G354" s="2" t="n">
        <f aca="false">ROUND('Raw Data'!P354,2)</f>
        <v>303.24</v>
      </c>
      <c r="H354" s="2" t="str">
        <f aca="false">IF('Raw Data'!S354="","Medium",'Raw Data'!S354)</f>
        <v>Low</v>
      </c>
      <c r="I354" s="2" t="str">
        <f aca="false">IF(E354&lt;100,"Small",IF(E354&lt;500,"Medium",IF(E354&lt;1500,"Large","Very Large")))</f>
        <v>Large</v>
      </c>
    </row>
    <row r="355" customFormat="false" ht="15" hidden="false" customHeight="false" outlineLevel="0" collapsed="false">
      <c r="A355" s="2" t="str">
        <f aca="false">'Raw Data'!A355</f>
        <v>ORD-6557</v>
      </c>
      <c r="B355" s="2" t="str">
        <f aca="false">IFERROR(DATEVALUE('Raw Data'!B355),"Check Format")</f>
        <v>Check Format</v>
      </c>
      <c r="C355" s="2" t="str">
        <f aca="false">IF('Raw Data'!E355="",IFERROR(INDEX('Raw Data'!$E$2:$E$501,MATCH('Raw Data'!D355,'Raw Data'!$D$2:$D$501,0)),"Unknown Customer"),'Raw Data'!E355)</f>
        <v>Matthew Hunt</v>
      </c>
      <c r="D355" s="2" t="str">
        <f aca="false">PROPER(TRIM('Raw Data'!G355))</f>
        <v/>
      </c>
      <c r="E355" s="2" t="n">
        <f aca="false">ROUND(VALUE(SUBSTITUTE(TRIM('Raw Data'!M355),"$","")),2)</f>
        <v>2304</v>
      </c>
      <c r="F355" s="2" t="n">
        <f aca="false">IF('Raw Data'!O355="",0,'Raw Data'!O355)</f>
        <v>0.4</v>
      </c>
      <c r="G355" s="2" t="n">
        <f aca="false">ROUND('Raw Data'!P355,2)</f>
        <v>3918.16</v>
      </c>
      <c r="H355" s="2" t="str">
        <f aca="false">IF('Raw Data'!S355="","Medium",'Raw Data'!S355)</f>
        <v>Low</v>
      </c>
      <c r="I355" s="2" t="str">
        <f aca="false">IF(E355&lt;100,"Small",IF(E355&lt;500,"Medium",IF(E355&lt;1500,"Large","Very Large")))</f>
        <v>Very Large</v>
      </c>
    </row>
    <row r="356" customFormat="false" ht="15" hidden="false" customHeight="false" outlineLevel="0" collapsed="false">
      <c r="A356" s="2" t="str">
        <f aca="false">'Raw Data'!A356</f>
        <v>ORD-17327</v>
      </c>
      <c r="B356" s="3" t="n">
        <f aca="false">IFERROR(DATEVALUE('Raw Data'!B356),"Check Format")</f>
        <v>46075</v>
      </c>
      <c r="C356" s="2" t="str">
        <f aca="false">IF('Raw Data'!E356="",IFERROR(INDEX('Raw Data'!$E$2:$E$501,MATCH('Raw Data'!D356,'Raw Data'!$D$2:$D$501,0)),"Unknown Customer"),'Raw Data'!E356)</f>
        <v>Tracey Phillips</v>
      </c>
      <c r="D356" s="2" t="str">
        <f aca="false">PROPER(TRIM('Raw Data'!G356))</f>
        <v>Austin</v>
      </c>
      <c r="E356" s="2" t="n">
        <f aca="false">ROUND(VALUE(SUBSTITUTE(TRIM('Raw Data'!M356),"$","")),2)</f>
        <v>1298.43</v>
      </c>
      <c r="F356" s="2" t="n">
        <f aca="false">IF('Raw Data'!O356="",0,'Raw Data'!O356)</f>
        <v>0.1</v>
      </c>
      <c r="G356" s="2" t="n">
        <f aca="false">ROUND('Raw Data'!P356,2)</f>
        <v>158.29</v>
      </c>
      <c r="H356" s="2" t="str">
        <f aca="false">IF('Raw Data'!S356="","Medium",'Raw Data'!S356)</f>
        <v>Critical</v>
      </c>
      <c r="I356" s="2" t="str">
        <f aca="false">IF(E356&lt;100,"Small",IF(E356&lt;500,"Medium",IF(E356&lt;1500,"Large","Very Large")))</f>
        <v>Large</v>
      </c>
    </row>
    <row r="357" customFormat="false" ht="15" hidden="false" customHeight="false" outlineLevel="0" collapsed="false">
      <c r="A357" s="2" t="str">
        <f aca="false">'Raw Data'!A357</f>
        <v>ORD-10974</v>
      </c>
      <c r="B357" s="2" t="str">
        <f aca="false">IFERROR(DATEVALUE('Raw Data'!B357),"Check Format")</f>
        <v>Check Format</v>
      </c>
      <c r="C357" s="2" t="str">
        <f aca="false">IF('Raw Data'!E357="",IFERROR(INDEX('Raw Data'!$E$2:$E$501,MATCH('Raw Data'!D357,'Raw Data'!$D$2:$D$501,0)),"Unknown Customer"),'Raw Data'!E357)</f>
        <v>Jessica Callahan</v>
      </c>
      <c r="D357" s="2" t="str">
        <f aca="false">PROPER(TRIM('Raw Data'!G357))</f>
        <v>Seattle</v>
      </c>
      <c r="E357" s="2" t="n">
        <f aca="false">ROUND(VALUE(SUBSTITUTE(TRIM('Raw Data'!M357),"$","")),2)</f>
        <v>5.82</v>
      </c>
      <c r="F357" s="2" t="n">
        <f aca="false">IF('Raw Data'!O357="",0,'Raw Data'!O357)</f>
        <v>0.4</v>
      </c>
      <c r="G357" s="2" t="n">
        <f aca="false">ROUND('Raw Data'!P357,2)</f>
        <v>-0.43</v>
      </c>
      <c r="H357" s="2" t="str">
        <f aca="false">IF('Raw Data'!S357="","Medium",'Raw Data'!S357)</f>
        <v>Medium</v>
      </c>
      <c r="I357" s="2" t="str">
        <f aca="false">IF(E357&lt;100,"Small",IF(E357&lt;500,"Medium",IF(E357&lt;1500,"Large","Very Large")))</f>
        <v>Small</v>
      </c>
    </row>
    <row r="358" customFormat="false" ht="15" hidden="false" customHeight="false" outlineLevel="0" collapsed="false">
      <c r="A358" s="2" t="str">
        <f aca="false">'Raw Data'!A358</f>
        <v>ORD-4607</v>
      </c>
      <c r="B358" s="2" t="str">
        <f aca="false">IFERROR(DATEVALUE('Raw Data'!B358),"Check Format")</f>
        <v>Check Format</v>
      </c>
      <c r="C358" s="2" t="str">
        <f aca="false">IF('Raw Data'!E358="",IFERROR(INDEX('Raw Data'!$E$2:$E$501,MATCH('Raw Data'!D358,'Raw Data'!$D$2:$D$501,0)),"Unknown Customer"),'Raw Data'!E358)</f>
        <v>James Webster</v>
      </c>
      <c r="D358" s="2" t="str">
        <f aca="false">PROPER(TRIM('Raw Data'!G358))</f>
        <v>Cleveland</v>
      </c>
      <c r="E358" s="2" t="n">
        <f aca="false">ROUND(VALUE(SUBSTITUTE(TRIM('Raw Data'!M358),"$","")),2)</f>
        <v>1029.7</v>
      </c>
      <c r="F358" s="2" t="n">
        <f aca="false">IF('Raw Data'!O358="",0,'Raw Data'!O358)</f>
        <v>0</v>
      </c>
      <c r="G358" s="2" t="n">
        <f aca="false">ROUND('Raw Data'!P358,2)</f>
        <v>401.05</v>
      </c>
      <c r="H358" s="2" t="str">
        <f aca="false">IF('Raw Data'!S358="","Medium",'Raw Data'!S358)</f>
        <v>High</v>
      </c>
      <c r="I358" s="2" t="str">
        <f aca="false">IF(E358&lt;100,"Small",IF(E358&lt;500,"Medium",IF(E358&lt;1500,"Large","Very Large")))</f>
        <v>Large</v>
      </c>
    </row>
    <row r="359" customFormat="false" ht="15" hidden="false" customHeight="false" outlineLevel="0" collapsed="false">
      <c r="A359" s="2" t="str">
        <f aca="false">'Raw Data'!A359</f>
        <v>ORD-15411</v>
      </c>
      <c r="B359" s="2" t="str">
        <f aca="false">IFERROR(DATEVALUE('Raw Data'!B359),"Check Format")</f>
        <v>Check Format</v>
      </c>
      <c r="C359" s="2" t="str">
        <f aca="false">IF('Raw Data'!E359="",IFERROR(INDEX('Raw Data'!$E$2:$E$501,MATCH('Raw Data'!D359,'Raw Data'!$D$2:$D$501,0)),"Unknown Customer"),'Raw Data'!E359)</f>
        <v>Kelly Haynes</v>
      </c>
      <c r="D359" s="2" t="str">
        <f aca="false">PROPER(TRIM('Raw Data'!G359))</f>
        <v>Charlotte</v>
      </c>
      <c r="E359" s="2" t="n">
        <f aca="false">ROUND(VALUE(SUBSTITUTE(TRIM('Raw Data'!M359),"$","")),2)</f>
        <v>1302.48</v>
      </c>
      <c r="F359" s="2" t="n">
        <f aca="false">IF('Raw Data'!O359="",0,'Raw Data'!O359)</f>
        <v>0</v>
      </c>
      <c r="G359" s="2" t="n">
        <f aca="false">ROUND('Raw Data'!P359,2)</f>
        <v>555.94</v>
      </c>
      <c r="H359" s="2" t="str">
        <f aca="false">IF('Raw Data'!S359="","Medium",'Raw Data'!S359)</f>
        <v>Medium</v>
      </c>
      <c r="I359" s="2" t="str">
        <f aca="false">IF(E359&lt;100,"Small",IF(E359&lt;500,"Medium",IF(E359&lt;1500,"Large","Very Large")))</f>
        <v>Large</v>
      </c>
    </row>
    <row r="360" customFormat="false" ht="15" hidden="false" customHeight="false" outlineLevel="0" collapsed="false">
      <c r="A360" s="2" t="str">
        <f aca="false">'Raw Data'!A360</f>
        <v>ORD-5320</v>
      </c>
      <c r="B360" s="3" t="n">
        <f aca="false">IFERROR(DATEVALUE('Raw Data'!B360),"Check Format")</f>
        <v>45896</v>
      </c>
      <c r="C360" s="2" t="str">
        <f aca="false">IF('Raw Data'!E360="",IFERROR(INDEX('Raw Data'!$E$2:$E$501,MATCH('Raw Data'!D360,'Raw Data'!$D$2:$D$501,0)),"Unknown Customer"),'Raw Data'!E360)</f>
        <v>Kelly Mclaughlin</v>
      </c>
      <c r="D360" s="2" t="str">
        <f aca="false">PROPER(TRIM('Raw Data'!G360))</f>
        <v>Buffalo</v>
      </c>
      <c r="E360" s="2" t="n">
        <f aca="false">ROUND(VALUE(SUBSTITUTE(TRIM('Raw Data'!M360),"$","")),2)</f>
        <v>2901.6</v>
      </c>
      <c r="F360" s="2" t="n">
        <f aca="false">IF('Raw Data'!O360="",0,'Raw Data'!O360)</f>
        <v>0.3</v>
      </c>
      <c r="G360" s="2" t="n">
        <f aca="false">ROUND('Raw Data'!P360,2)</f>
        <v>74.2</v>
      </c>
      <c r="H360" s="2" t="str">
        <f aca="false">IF('Raw Data'!S360="","Medium",'Raw Data'!S360)</f>
        <v>High</v>
      </c>
      <c r="I360" s="2" t="str">
        <f aca="false">IF(E360&lt;100,"Small",IF(E360&lt;500,"Medium",IF(E360&lt;1500,"Large","Very Large")))</f>
        <v>Very Large</v>
      </c>
    </row>
    <row r="361" customFormat="false" ht="15" hidden="false" customHeight="false" outlineLevel="0" collapsed="false">
      <c r="A361" s="2" t="str">
        <f aca="false">'Raw Data'!A361</f>
        <v>ORD-13912</v>
      </c>
      <c r="B361" s="3" t="n">
        <f aca="false">IFERROR(DATEVALUE('Raw Data'!B361),"Check Format")</f>
        <v>45670</v>
      </c>
      <c r="C361" s="2" t="str">
        <f aca="false">IF('Raw Data'!E361="",IFERROR(INDEX('Raw Data'!$E$2:$E$501,MATCH('Raw Data'!D361,'Raw Data'!$D$2:$D$501,0)),"Unknown Customer"),'Raw Data'!E361)</f>
        <v>Robert Montgomery</v>
      </c>
      <c r="D361" s="2" t="str">
        <f aca="false">PROPER(TRIM('Raw Data'!G361))</f>
        <v/>
      </c>
      <c r="E361" s="2" t="n">
        <f aca="false">ROUND(VALUE(SUBSTITUTE(TRIM('Raw Data'!M361),"$","")),2)</f>
        <v>1132.5</v>
      </c>
      <c r="F361" s="2" t="n">
        <f aca="false">IF('Raw Data'!O361="",0,'Raw Data'!O361)</f>
        <v>0.4</v>
      </c>
      <c r="G361" s="2" t="n">
        <f aca="false">ROUND('Raw Data'!P361,2)</f>
        <v>-109.43</v>
      </c>
      <c r="H361" s="2" t="str">
        <f aca="false">IF('Raw Data'!S361="","Medium",'Raw Data'!S361)</f>
        <v>Medium</v>
      </c>
      <c r="I361" s="2" t="str">
        <f aca="false">IF(E361&lt;100,"Small",IF(E361&lt;500,"Medium",IF(E361&lt;1500,"Large","Very Large")))</f>
        <v>Large</v>
      </c>
    </row>
    <row r="362" customFormat="false" ht="15" hidden="false" customHeight="false" outlineLevel="0" collapsed="false">
      <c r="A362" s="2" t="str">
        <f aca="false">'Raw Data'!A362</f>
        <v>ORD-15204</v>
      </c>
      <c r="B362" s="3" t="n">
        <f aca="false">IFERROR(DATEVALUE('Raw Data'!B362),"Check Format")</f>
        <v>45484</v>
      </c>
      <c r="C362" s="2" t="str">
        <f aca="false">IF('Raw Data'!E362="",IFERROR(INDEX('Raw Data'!$E$2:$E$501,MATCH('Raw Data'!D362,'Raw Data'!$D$2:$D$501,0)),"Unknown Customer"),'Raw Data'!E362)</f>
        <v>Michael Blair</v>
      </c>
      <c r="D362" s="2" t="str">
        <f aca="false">PROPER(TRIM('Raw Data'!G362))</f>
        <v>Lexington</v>
      </c>
      <c r="E362" s="2" t="n">
        <f aca="false">ROUND(VALUE(SUBSTITUTE(TRIM('Raw Data'!M362),"$","")),2)</f>
        <v>70.28</v>
      </c>
      <c r="F362" s="2" t="n">
        <f aca="false">IF('Raw Data'!O362="",0,'Raw Data'!O362)</f>
        <v>0.3</v>
      </c>
      <c r="G362" s="2" t="n">
        <f aca="false">ROUND('Raw Data'!P362,2)</f>
        <v>-1.56</v>
      </c>
      <c r="H362" s="2" t="str">
        <f aca="false">IF('Raw Data'!S362="","Medium",'Raw Data'!S362)</f>
        <v>Medium</v>
      </c>
      <c r="I362" s="2" t="str">
        <f aca="false">IF(E362&lt;100,"Small",IF(E362&lt;500,"Medium",IF(E362&lt;1500,"Large","Very Large")))</f>
        <v>Small</v>
      </c>
    </row>
    <row r="363" customFormat="false" ht="15" hidden="false" customHeight="false" outlineLevel="0" collapsed="false">
      <c r="A363" s="2" t="str">
        <f aca="false">'Raw Data'!A363</f>
        <v>ORD-8261</v>
      </c>
      <c r="B363" s="3" t="n">
        <f aca="false">IFERROR(DATEVALUE('Raw Data'!B363),"Check Format")</f>
        <v>46297</v>
      </c>
      <c r="C363" s="2" t="str">
        <f aca="false">IF('Raw Data'!E363="",IFERROR(INDEX('Raw Data'!$E$2:$E$501,MATCH('Raw Data'!D363,'Raw Data'!$D$2:$D$501,0)),"Unknown Customer"),'Raw Data'!E363)</f>
        <v>Casey Chase</v>
      </c>
      <c r="D363" s="2" t="str">
        <f aca="false">PROPER(TRIM('Raw Data'!G363))</f>
        <v>Detroit</v>
      </c>
      <c r="E363" s="2" t="n">
        <f aca="false">ROUND(VALUE(SUBSTITUTE(TRIM('Raw Data'!M363),"$","")),2)</f>
        <v>218.05</v>
      </c>
      <c r="F363" s="2" t="n">
        <f aca="false">IF('Raw Data'!O363="",0,'Raw Data'!O363)</f>
        <v>0.4</v>
      </c>
      <c r="G363" s="2" t="n">
        <f aca="false">ROUND('Raw Data'!P363,2)</f>
        <v>1</v>
      </c>
      <c r="H363" s="2" t="str">
        <f aca="false">IF('Raw Data'!S363="","Medium",'Raw Data'!S363)</f>
        <v>Low</v>
      </c>
      <c r="I363" s="2" t="str">
        <f aca="false">IF(E363&lt;100,"Small",IF(E363&lt;500,"Medium",IF(E363&lt;1500,"Large","Very Large")))</f>
        <v>Medium</v>
      </c>
    </row>
    <row r="364" customFormat="false" ht="15" hidden="false" customHeight="false" outlineLevel="0" collapsed="false">
      <c r="A364" s="2" t="str">
        <f aca="false">'Raw Data'!A364</f>
        <v>ORD-10550</v>
      </c>
      <c r="B364" s="3" t="n">
        <f aca="false">IFERROR(DATEVALUE('Raw Data'!B364),"Check Format")</f>
        <v>46018</v>
      </c>
      <c r="C364" s="2" t="str">
        <f aca="false">IF('Raw Data'!E364="",IFERROR(INDEX('Raw Data'!$E$2:$E$501,MATCH('Raw Data'!D364,'Raw Data'!$D$2:$D$501,0)),"Unknown Customer"),'Raw Data'!E364)</f>
        <v>Carol Sanders</v>
      </c>
      <c r="D364" s="2" t="str">
        <f aca="false">PROPER(TRIM('Raw Data'!G364))</f>
        <v>Houston</v>
      </c>
      <c r="E364" s="2" t="n">
        <f aca="false">ROUND(VALUE(SUBSTITUTE(TRIM('Raw Data'!M364),"$","")),2)</f>
        <v>589.2</v>
      </c>
      <c r="F364" s="2" t="n">
        <f aca="false">IF('Raw Data'!O364="",0,'Raw Data'!O364)</f>
        <v>0.3</v>
      </c>
      <c r="G364" s="2" t="n">
        <f aca="false">ROUND('Raw Data'!P364,2)</f>
        <v>-33.37</v>
      </c>
      <c r="H364" s="2" t="str">
        <f aca="false">IF('Raw Data'!S364="","Medium",'Raw Data'!S364)</f>
        <v>Critical</v>
      </c>
      <c r="I364" s="2" t="str">
        <f aca="false">IF(E364&lt;100,"Small",IF(E364&lt;500,"Medium",IF(E364&lt;1500,"Large","Very Large")))</f>
        <v>Large</v>
      </c>
    </row>
    <row r="365" customFormat="false" ht="15" hidden="false" customHeight="false" outlineLevel="0" collapsed="false">
      <c r="A365" s="2" t="str">
        <f aca="false">'Raw Data'!A365</f>
        <v>ORD-17571</v>
      </c>
      <c r="B365" s="2" t="str">
        <f aca="false">IFERROR(DATEVALUE('Raw Data'!B365),"Check Format")</f>
        <v>Check Format</v>
      </c>
      <c r="C365" s="2" t="str">
        <f aca="false">IF('Raw Data'!E365="",IFERROR(INDEX('Raw Data'!$E$2:$E$501,MATCH('Raw Data'!D365,'Raw Data'!$D$2:$D$501,0)),"Unknown Customer"),'Raw Data'!E365)</f>
        <v>Jackie Clements</v>
      </c>
      <c r="D365" s="2" t="str">
        <f aca="false">PROPER(TRIM('Raw Data'!G365))</f>
        <v>New Orleans</v>
      </c>
      <c r="E365" s="2" t="n">
        <f aca="false">ROUND(VALUE(SUBSTITUTE(TRIM('Raw Data'!M365),"$","")),2)</f>
        <v>770</v>
      </c>
      <c r="F365" s="2" t="n">
        <f aca="false">IF('Raw Data'!O365="",0,'Raw Data'!O365)</f>
        <v>0.1</v>
      </c>
      <c r="G365" s="2" t="n">
        <f aca="false">ROUND('Raw Data'!P365,2)</f>
        <v>134.5</v>
      </c>
      <c r="H365" s="2" t="str">
        <f aca="false">IF('Raw Data'!S365="","Medium",'Raw Data'!S365)</f>
        <v>Medium</v>
      </c>
      <c r="I365" s="2" t="str">
        <f aca="false">IF(E365&lt;100,"Small",IF(E365&lt;500,"Medium",IF(E365&lt;1500,"Large","Very Large")))</f>
        <v>Large</v>
      </c>
    </row>
    <row r="366" customFormat="false" ht="15" hidden="false" customHeight="false" outlineLevel="0" collapsed="false">
      <c r="A366" s="2" t="str">
        <f aca="false">'Raw Data'!A366</f>
        <v>ORD-9668</v>
      </c>
      <c r="B366" s="2" t="str">
        <f aca="false">IFERROR(DATEVALUE('Raw Data'!B366),"Check Format")</f>
        <v>Check Format</v>
      </c>
      <c r="C366" s="2" t="str">
        <f aca="false">IF('Raw Data'!E366="",IFERROR(INDEX('Raw Data'!$E$2:$E$501,MATCH('Raw Data'!D366,'Raw Data'!$D$2:$D$501,0)),"Unknown Customer"),'Raw Data'!E366)</f>
        <v>Amy Silva</v>
      </c>
      <c r="D366" s="2" t="str">
        <f aca="false">PROPER(TRIM('Raw Data'!G366))</f>
        <v>Las Vegas</v>
      </c>
      <c r="E366" s="2" t="n">
        <f aca="false">ROUND(VALUE(SUBSTITUTE(TRIM('Raw Data'!M366),"$","")),2)</f>
        <v>29.66</v>
      </c>
      <c r="F366" s="2" t="n">
        <f aca="false">IF('Raw Data'!O366="",0,'Raw Data'!O366)</f>
        <v>0.15</v>
      </c>
      <c r="G366" s="2" t="n">
        <f aca="false">ROUND('Raw Data'!P366,2)</f>
        <v>0.06</v>
      </c>
      <c r="H366" s="2" t="str">
        <f aca="false">IF('Raw Data'!S366="","Medium",'Raw Data'!S366)</f>
        <v>Critical</v>
      </c>
      <c r="I366" s="2" t="str">
        <f aca="false">IF(E366&lt;100,"Small",IF(E366&lt;500,"Medium",IF(E366&lt;1500,"Large","Very Large")))</f>
        <v>Small</v>
      </c>
    </row>
    <row r="367" customFormat="false" ht="15" hidden="false" customHeight="false" outlineLevel="0" collapsed="false">
      <c r="A367" s="2" t="str">
        <f aca="false">'Raw Data'!A367</f>
        <v>ORD-15959</v>
      </c>
      <c r="B367" s="3" t="n">
        <f aca="false">IFERROR(DATEVALUE('Raw Data'!B367),"Check Format")</f>
        <v>45293</v>
      </c>
      <c r="C367" s="2" t="str">
        <f aca="false">IF('Raw Data'!E367="",IFERROR(INDEX('Raw Data'!$E$2:$E$501,MATCH('Raw Data'!D367,'Raw Data'!$D$2:$D$501,0)),"Unknown Customer"),'Raw Data'!E367)</f>
        <v>Diane Evans</v>
      </c>
      <c r="D367" s="2" t="str">
        <f aca="false">PROPER(TRIM('Raw Data'!G367))</f>
        <v>Boston</v>
      </c>
      <c r="E367" s="2" t="n">
        <f aca="false">ROUND(VALUE(SUBSTITUTE(TRIM('Raw Data'!M367),"$","")),2)</f>
        <v>197.76</v>
      </c>
      <c r="F367" s="2" t="n">
        <f aca="false">IF('Raw Data'!O367="",0,'Raw Data'!O367)</f>
        <v>0</v>
      </c>
      <c r="G367" s="2" t="n">
        <f aca="false">ROUND('Raw Data'!P367,2)</f>
        <v>55.15</v>
      </c>
      <c r="H367" s="2" t="str">
        <f aca="false">IF('Raw Data'!S367="","Medium",'Raw Data'!S367)</f>
        <v>High</v>
      </c>
      <c r="I367" s="2" t="str">
        <f aca="false">IF(E367&lt;100,"Small",IF(E367&lt;500,"Medium",IF(E367&lt;1500,"Large","Very Large")))</f>
        <v>Medium</v>
      </c>
    </row>
    <row r="368" customFormat="false" ht="15" hidden="false" customHeight="false" outlineLevel="0" collapsed="false">
      <c r="A368" s="2" t="str">
        <f aca="false">'Raw Data'!A368</f>
        <v>ORD-5650</v>
      </c>
      <c r="B368" s="3" t="n">
        <f aca="false">IFERROR(DATEVALUE('Raw Data'!B368),"Check Format")</f>
        <v>45190</v>
      </c>
      <c r="C368" s="2" t="str">
        <f aca="false">IF('Raw Data'!E368="",IFERROR(INDEX('Raw Data'!$E$2:$E$501,MATCH('Raw Data'!D368,'Raw Data'!$D$2:$D$501,0)),"Unknown Customer"),'Raw Data'!E368)</f>
        <v>Amy Kelley</v>
      </c>
      <c r="D368" s="2" t="str">
        <f aca="false">PROPER(TRIM('Raw Data'!G368))</f>
        <v>Birmingham</v>
      </c>
      <c r="E368" s="2" t="n">
        <f aca="false">ROUND(VALUE(SUBSTITUTE(TRIM('Raw Data'!M368),"$","")),2)</f>
        <v>602.66</v>
      </c>
      <c r="F368" s="2" t="n">
        <f aca="false">IF('Raw Data'!O368="",0,'Raw Data'!O368)</f>
        <v>0.15</v>
      </c>
      <c r="G368" s="2" t="n">
        <f aca="false">ROUND('Raw Data'!P368,2)</f>
        <v>45.18</v>
      </c>
      <c r="H368" s="2" t="str">
        <f aca="false">IF('Raw Data'!S368="","Medium",'Raw Data'!S368)</f>
        <v>Medium</v>
      </c>
      <c r="I368" s="2" t="str">
        <f aca="false">IF(E368&lt;100,"Small",IF(E368&lt;500,"Medium",IF(E368&lt;1500,"Large","Very Large")))</f>
        <v>Large</v>
      </c>
    </row>
    <row r="369" customFormat="false" ht="15" hidden="false" customHeight="false" outlineLevel="0" collapsed="false">
      <c r="A369" s="2" t="str">
        <f aca="false">'Raw Data'!A369</f>
        <v>ORD-5807</v>
      </c>
      <c r="B369" s="2" t="str">
        <f aca="false">IFERROR(DATEVALUE('Raw Data'!B369),"Check Format")</f>
        <v>Check Format</v>
      </c>
      <c r="C369" s="2" t="str">
        <f aca="false">IF('Raw Data'!E369="",IFERROR(INDEX('Raw Data'!$E$2:$E$501,MATCH('Raw Data'!D369,'Raw Data'!$D$2:$D$501,0)),"Unknown Customer"),'Raw Data'!E369)</f>
        <v>Riley Bryant</v>
      </c>
      <c r="D369" s="2" t="str">
        <f aca="false">PROPER(TRIM('Raw Data'!G369))</f>
        <v>Las Vegas</v>
      </c>
      <c r="E369" s="2" t="n">
        <f aca="false">ROUND(VALUE(SUBSTITUTE(TRIM('Raw Data'!M369),"$","")),2)</f>
        <v>684.88</v>
      </c>
      <c r="F369" s="2" t="n">
        <f aca="false">IF('Raw Data'!O369="",0,'Raw Data'!O369)</f>
        <v>0.1</v>
      </c>
      <c r="G369" s="2" t="n">
        <f aca="false">ROUND('Raw Data'!P369,2)</f>
        <v>228.63</v>
      </c>
      <c r="H369" s="2" t="str">
        <f aca="false">IF('Raw Data'!S369="","Medium",'Raw Data'!S369)</f>
        <v>Medium</v>
      </c>
      <c r="I369" s="2" t="str">
        <f aca="false">IF(E369&lt;100,"Small",IF(E369&lt;500,"Medium",IF(E369&lt;1500,"Large","Very Large")))</f>
        <v>Large</v>
      </c>
    </row>
    <row r="370" customFormat="false" ht="15" hidden="false" customHeight="false" outlineLevel="0" collapsed="false">
      <c r="A370" s="2" t="str">
        <f aca="false">'Raw Data'!A370</f>
        <v>ORD-12243</v>
      </c>
      <c r="B370" s="3" t="n">
        <f aca="false">IFERROR(DATEVALUE('Raw Data'!B370),"Check Format")</f>
        <v>45547</v>
      </c>
      <c r="C370" s="2" t="str">
        <f aca="false">IF('Raw Data'!E370="",IFERROR(INDEX('Raw Data'!$E$2:$E$501,MATCH('Raw Data'!D370,'Raw Data'!$D$2:$D$501,0)),"Unknown Customer"),'Raw Data'!E370)</f>
        <v>Brett Burns</v>
      </c>
      <c r="D370" s="2" t="str">
        <f aca="false">PROPER(TRIM('Raw Data'!G370))</f>
        <v>Tampa</v>
      </c>
      <c r="E370" s="2" t="n">
        <f aca="false">ROUND(VALUE(SUBSTITUTE(TRIM('Raw Data'!M370),"$","")),2)</f>
        <v>201.42</v>
      </c>
      <c r="F370" s="2" t="n">
        <f aca="false">IF('Raw Data'!O370="",0,'Raw Data'!O370)</f>
        <v>0</v>
      </c>
      <c r="G370" s="2" t="n">
        <f aca="false">ROUND('Raw Data'!P370,2)</f>
        <v>83.65</v>
      </c>
      <c r="H370" s="2" t="str">
        <f aca="false">IF('Raw Data'!S370="","Medium",'Raw Data'!S370)</f>
        <v>Low</v>
      </c>
      <c r="I370" s="2" t="str">
        <f aca="false">IF(E370&lt;100,"Small",IF(E370&lt;500,"Medium",IF(E370&lt;1500,"Large","Very Large")))</f>
        <v>Medium</v>
      </c>
    </row>
    <row r="371" customFormat="false" ht="15" hidden="false" customHeight="false" outlineLevel="0" collapsed="false">
      <c r="A371" s="2" t="str">
        <f aca="false">'Raw Data'!A371</f>
        <v>ORD-10948</v>
      </c>
      <c r="B371" s="2" t="str">
        <f aca="false">IFERROR(DATEVALUE('Raw Data'!B371),"Check Format")</f>
        <v>Check Format</v>
      </c>
      <c r="C371" s="2" t="str">
        <f aca="false">IF('Raw Data'!E371="",IFERROR(INDEX('Raw Data'!$E$2:$E$501,MATCH('Raw Data'!D371,'Raw Data'!$D$2:$D$501,0)),"Unknown Customer"),'Raw Data'!E371)</f>
        <v>Veronica King</v>
      </c>
      <c r="D371" s="2" t="str">
        <f aca="false">PROPER(TRIM('Raw Data'!G371))</f>
        <v>Philadelphia</v>
      </c>
      <c r="E371" s="2" t="n">
        <f aca="false">ROUND(VALUE(SUBSTITUTE(TRIM('Raw Data'!M371),"$","")),2)</f>
        <v>284.88</v>
      </c>
      <c r="F371" s="2" t="n">
        <f aca="false">IF('Raw Data'!O371="",0,'Raw Data'!O371)</f>
        <v>0</v>
      </c>
      <c r="G371" s="2" t="n">
        <f aca="false">ROUND('Raw Data'!P371,2)</f>
        <v>96.6</v>
      </c>
      <c r="H371" s="2" t="str">
        <f aca="false">IF('Raw Data'!S371="","Medium",'Raw Data'!S371)</f>
        <v>Critical</v>
      </c>
      <c r="I371" s="2" t="str">
        <f aca="false">IF(E371&lt;100,"Small",IF(E371&lt;500,"Medium",IF(E371&lt;1500,"Large","Very Large")))</f>
        <v>Medium</v>
      </c>
    </row>
    <row r="372" customFormat="false" ht="15" hidden="false" customHeight="false" outlineLevel="0" collapsed="false">
      <c r="A372" s="2" t="str">
        <f aca="false">'Raw Data'!A372</f>
        <v>ORD-12015</v>
      </c>
      <c r="B372" s="3" t="n">
        <f aca="false">IFERROR(DATEVALUE('Raw Data'!B372),"Check Format")</f>
        <v>45610</v>
      </c>
      <c r="C372" s="2" t="str">
        <f aca="false">IF('Raw Data'!E372="",IFERROR(INDEX('Raw Data'!$E$2:$E$501,MATCH('Raw Data'!D372,'Raw Data'!$D$2:$D$501,0)),"Unknown Customer"),'Raw Data'!E372)</f>
        <v>Kathleen Robertson</v>
      </c>
      <c r="D372" s="2" t="str">
        <f aca="false">PROPER(TRIM('Raw Data'!G372))</f>
        <v>Minneapolis</v>
      </c>
      <c r="E372" s="2" t="n">
        <f aca="false">ROUND(VALUE(SUBSTITUTE(TRIM('Raw Data'!M372),"$","")),2)</f>
        <v>1793.8</v>
      </c>
      <c r="F372" s="2" t="n">
        <f aca="false">IF('Raw Data'!O372="",0,'Raw Data'!O372)</f>
        <v>0.1</v>
      </c>
      <c r="G372" s="2" t="n">
        <f aca="false">ROUND('Raw Data'!P372,2)</f>
        <v>532.49</v>
      </c>
      <c r="H372" s="2" t="str">
        <f aca="false">IF('Raw Data'!S372="","Medium",'Raw Data'!S372)</f>
        <v>Low</v>
      </c>
      <c r="I372" s="2" t="str">
        <f aca="false">IF(E372&lt;100,"Small",IF(E372&lt;500,"Medium",IF(E372&lt;1500,"Large","Very Large")))</f>
        <v>Very Large</v>
      </c>
    </row>
    <row r="373" customFormat="false" ht="15" hidden="false" customHeight="false" outlineLevel="0" collapsed="false">
      <c r="A373" s="2" t="str">
        <f aca="false">'Raw Data'!A373</f>
        <v>ORD-14779</v>
      </c>
      <c r="B373" s="2" t="str">
        <f aca="false">IFERROR(DATEVALUE('Raw Data'!B373),"Check Format")</f>
        <v>Check Format</v>
      </c>
      <c r="C373" s="2" t="str">
        <f aca="false">IF('Raw Data'!E373="",IFERROR(INDEX('Raw Data'!$E$2:$E$501,MATCH('Raw Data'!D373,'Raw Data'!$D$2:$D$501,0)),"Unknown Customer"),'Raw Data'!E373)</f>
        <v>Lori Guerrero</v>
      </c>
      <c r="D373" s="2" t="str">
        <f aca="false">PROPER(TRIM('Raw Data'!G373))</f>
        <v>Detroit</v>
      </c>
      <c r="E373" s="2" t="n">
        <f aca="false">ROUND(VALUE(SUBSTITUTE(TRIM('Raw Data'!M373),"$","")),2)</f>
        <v>343.88</v>
      </c>
      <c r="F373" s="2" t="n">
        <f aca="false">IF('Raw Data'!O373="",0,'Raw Data'!O373)</f>
        <v>0.1</v>
      </c>
      <c r="G373" s="2" t="n">
        <f aca="false">ROUND('Raw Data'!P373,2)</f>
        <v>20.91</v>
      </c>
      <c r="H373" s="2" t="str">
        <f aca="false">IF('Raw Data'!S373="","Medium",'Raw Data'!S373)</f>
        <v>High</v>
      </c>
      <c r="I373" s="2" t="str">
        <f aca="false">IF(E373&lt;100,"Small",IF(E373&lt;500,"Medium",IF(E373&lt;1500,"Large","Very Large")))</f>
        <v>Medium</v>
      </c>
    </row>
    <row r="374" customFormat="false" ht="15" hidden="false" customHeight="false" outlineLevel="0" collapsed="false">
      <c r="A374" s="2" t="str">
        <f aca="false">'Raw Data'!A374</f>
        <v>ORD-3541</v>
      </c>
      <c r="B374" s="2" t="str">
        <f aca="false">IFERROR(DATEVALUE('Raw Data'!B374),"Check Format")</f>
        <v>Check Format</v>
      </c>
      <c r="C374" s="2" t="str">
        <f aca="false">IF('Raw Data'!E374="",IFERROR(INDEX('Raw Data'!$E$2:$E$501,MATCH('Raw Data'!D374,'Raw Data'!$D$2:$D$501,0)),"Unknown Customer"),'Raw Data'!E374)</f>
        <v>Kristine Carrillo</v>
      </c>
      <c r="D374" s="2" t="str">
        <f aca="false">PROPER(TRIM('Raw Data'!G374))</f>
        <v>Kansas City</v>
      </c>
      <c r="E374" s="2" t="n">
        <f aca="false">ROUND(VALUE(SUBSTITUTE(TRIM('Raw Data'!M374),"$","")),2)</f>
        <v>1649.1</v>
      </c>
      <c r="F374" s="2" t="n">
        <f aca="false">IF('Raw Data'!O374="",0,'Raw Data'!O374)</f>
        <v>0.2</v>
      </c>
      <c r="G374" s="2" t="n">
        <f aca="false">ROUND('Raw Data'!P374,2)</f>
        <v>308.07</v>
      </c>
      <c r="H374" s="2" t="str">
        <f aca="false">IF('Raw Data'!S374="","Medium",'Raw Data'!S374)</f>
        <v>Low</v>
      </c>
      <c r="I374" s="2" t="str">
        <f aca="false">IF(E374&lt;100,"Small",IF(E374&lt;500,"Medium",IF(E374&lt;1500,"Large","Very Large")))</f>
        <v>Very Large</v>
      </c>
    </row>
    <row r="375" customFormat="false" ht="15" hidden="false" customHeight="false" outlineLevel="0" collapsed="false">
      <c r="A375" s="2" t="str">
        <f aca="false">'Raw Data'!A375</f>
        <v>ORD-12107</v>
      </c>
      <c r="B375" s="3" t="n">
        <f aca="false">IFERROR(DATEVALUE('Raw Data'!B375),"Check Format")</f>
        <v>45231</v>
      </c>
      <c r="C375" s="2" t="str">
        <f aca="false">IF('Raw Data'!E375="",IFERROR(INDEX('Raw Data'!$E$2:$E$501,MATCH('Raw Data'!D375,'Raw Data'!$D$2:$D$501,0)),"Unknown Customer"),'Raw Data'!E375)</f>
        <v>Mason Moore</v>
      </c>
      <c r="D375" s="2" t="str">
        <f aca="false">PROPER(TRIM('Raw Data'!G375))</f>
        <v>Ann Arbor</v>
      </c>
      <c r="E375" s="2" t="n">
        <f aca="false">ROUND(VALUE(SUBSTITUTE(TRIM('Raw Data'!M375),"$","")),2)</f>
        <v>93.9</v>
      </c>
      <c r="F375" s="2" t="n">
        <f aca="false">IF('Raw Data'!O375="",0,'Raw Data'!O375)</f>
        <v>0</v>
      </c>
      <c r="G375" s="2" t="n">
        <f aca="false">ROUND('Raw Data'!P375,2)</f>
        <v>18.35</v>
      </c>
      <c r="H375" s="2" t="str">
        <f aca="false">IF('Raw Data'!S375="","Medium",'Raw Data'!S375)</f>
        <v>Medium</v>
      </c>
      <c r="I375" s="2" t="str">
        <f aca="false">IF(E375&lt;100,"Small",IF(E375&lt;500,"Medium",IF(E375&lt;1500,"Large","Very Large")))</f>
        <v>Small</v>
      </c>
    </row>
    <row r="376" customFormat="false" ht="15" hidden="false" customHeight="false" outlineLevel="0" collapsed="false">
      <c r="A376" s="2" t="str">
        <f aca="false">'Raw Data'!A376</f>
        <v>ORD-3319</v>
      </c>
      <c r="B376" s="2" t="str">
        <f aca="false">IFERROR(DATEVALUE('Raw Data'!B376),"Check Format")</f>
        <v>Check Format</v>
      </c>
      <c r="C376" s="2" t="str">
        <f aca="false">IF('Raw Data'!E376="",IFERROR(INDEX('Raw Data'!$E$2:$E$501,MATCH('Raw Data'!D376,'Raw Data'!$D$2:$D$501,0)),"Unknown Customer"),'Raw Data'!E376)</f>
        <v>Mr. Carl Rios</v>
      </c>
      <c r="D376" s="2" t="str">
        <f aca="false">PROPER(TRIM('Raw Data'!G376))</f>
        <v>Kansas City</v>
      </c>
      <c r="E376" s="2" t="n">
        <f aca="false">ROUND(VALUE(SUBSTITUTE(TRIM('Raw Data'!M376),"$","")),2)</f>
        <v>1002.2</v>
      </c>
      <c r="F376" s="2" t="n">
        <f aca="false">IF('Raw Data'!O376="",0,'Raw Data'!O376)</f>
        <v>0.4</v>
      </c>
      <c r="G376" s="2" t="n">
        <f aca="false">ROUND('Raw Data'!P376,2)</f>
        <v>-139.82</v>
      </c>
      <c r="H376" s="2" t="str">
        <f aca="false">IF('Raw Data'!S376="","Medium",'Raw Data'!S376)</f>
        <v>Critical</v>
      </c>
      <c r="I376" s="2" t="str">
        <f aca="false">IF(E376&lt;100,"Small",IF(E376&lt;500,"Medium",IF(E376&lt;1500,"Large","Very Large")))</f>
        <v>Large</v>
      </c>
    </row>
    <row r="377" customFormat="false" ht="15" hidden="false" customHeight="false" outlineLevel="0" collapsed="false">
      <c r="A377" s="2" t="str">
        <f aca="false">'Raw Data'!A377</f>
        <v>ORD-12394</v>
      </c>
      <c r="B377" s="2" t="str">
        <f aca="false">IFERROR(DATEVALUE('Raw Data'!B377),"Check Format")</f>
        <v>Check Format</v>
      </c>
      <c r="C377" s="2" t="str">
        <f aca="false">IF('Raw Data'!E377="",IFERROR(INDEX('Raw Data'!$E$2:$E$501,MATCH('Raw Data'!D377,'Raw Data'!$D$2:$D$501,0)),"Unknown Customer"),'Raw Data'!E377)</f>
        <v>Cathy Robinson</v>
      </c>
      <c r="D377" s="2" t="str">
        <f aca="false">PROPER(TRIM('Raw Data'!G377))</f>
        <v>Eugene</v>
      </c>
      <c r="E377" s="2" t="n">
        <f aca="false">ROUND(VALUE(SUBSTITUTE(TRIM('Raw Data'!M377),"$","")),2)</f>
        <v>132.79</v>
      </c>
      <c r="F377" s="2" t="n">
        <f aca="false">IF('Raw Data'!O377="",0,'Raw Data'!O377)</f>
        <v>0</v>
      </c>
      <c r="G377" s="2" t="n">
        <f aca="false">ROUND('Raw Data'!P377,2)</f>
        <v>37.66</v>
      </c>
      <c r="H377" s="2" t="str">
        <f aca="false">IF('Raw Data'!S377="","Medium",'Raw Data'!S377)</f>
        <v>High</v>
      </c>
      <c r="I377" s="2" t="str">
        <f aca="false">IF(E377&lt;100,"Small",IF(E377&lt;500,"Medium",IF(E377&lt;1500,"Large","Very Large")))</f>
        <v>Medium</v>
      </c>
    </row>
    <row r="378" customFormat="false" ht="15" hidden="false" customHeight="false" outlineLevel="0" collapsed="false">
      <c r="A378" s="2" t="str">
        <f aca="false">'Raw Data'!A378</f>
        <v>ORD-4338</v>
      </c>
      <c r="B378" s="3" t="n">
        <f aca="false">IFERROR(DATEVALUE('Raw Data'!B378),"Check Format")</f>
        <v>45969</v>
      </c>
      <c r="C378" s="2" t="str">
        <f aca="false">IF('Raw Data'!E378="",IFERROR(INDEX('Raw Data'!$E$2:$E$501,MATCH('Raw Data'!D378,'Raw Data'!$D$2:$D$501,0)),"Unknown Customer"),'Raw Data'!E378)</f>
        <v>Felicia Krueger</v>
      </c>
      <c r="D378" s="2" t="str">
        <f aca="false">PROPER(TRIM('Raw Data'!G378))</f>
        <v>Dallas</v>
      </c>
      <c r="E378" s="2" t="n">
        <f aca="false">ROUND(VALUE(SUBSTITUTE(TRIM('Raw Data'!M378),"$","")),2)</f>
        <v>1187.82</v>
      </c>
      <c r="F378" s="2" t="n">
        <f aca="false">IF('Raw Data'!O378="",0,'Raw Data'!O378)</f>
        <v>0.3</v>
      </c>
      <c r="G378" s="2" t="n">
        <f aca="false">ROUND('Raw Data'!P378,2)</f>
        <v>132.45</v>
      </c>
      <c r="H378" s="2" t="str">
        <f aca="false">IF('Raw Data'!S378="","Medium",'Raw Data'!S378)</f>
        <v>High</v>
      </c>
      <c r="I378" s="2" t="str">
        <f aca="false">IF(E378&lt;100,"Small",IF(E378&lt;500,"Medium",IF(E378&lt;1500,"Large","Very Large")))</f>
        <v>Large</v>
      </c>
    </row>
    <row r="379" customFormat="false" ht="15" hidden="false" customHeight="false" outlineLevel="0" collapsed="false">
      <c r="A379" s="2" t="str">
        <f aca="false">'Raw Data'!A379</f>
        <v>ORD-4630</v>
      </c>
      <c r="B379" s="2" t="str">
        <f aca="false">IFERROR(DATEVALUE('Raw Data'!B379),"Check Format")</f>
        <v>Check Format</v>
      </c>
      <c r="C379" s="2" t="str">
        <f aca="false">IF('Raw Data'!E379="",IFERROR(INDEX('Raw Data'!$E$2:$E$501,MATCH('Raw Data'!D379,'Raw Data'!$D$2:$D$501,0)),"Unknown Customer"),'Raw Data'!E379)</f>
        <v>Robert Cummings</v>
      </c>
      <c r="D379" s="2" t="str">
        <f aca="false">PROPER(TRIM('Raw Data'!G379))</f>
        <v>Montgomery</v>
      </c>
      <c r="E379" s="2" t="n">
        <f aca="false">ROUND(VALUE(SUBSTITUTE(TRIM('Raw Data'!M379),"$","")),2)</f>
        <v>1325.08</v>
      </c>
      <c r="F379" s="2" t="n">
        <f aca="false">IF('Raw Data'!O379="",0,'Raw Data'!O379)</f>
        <v>0.5</v>
      </c>
      <c r="G379" s="2" t="n">
        <f aca="false">ROUND('Raw Data'!P379,2)</f>
        <v>-423.77</v>
      </c>
      <c r="H379" s="2" t="str">
        <f aca="false">IF('Raw Data'!S379="","Medium",'Raw Data'!S379)</f>
        <v>Medium</v>
      </c>
      <c r="I379" s="2" t="str">
        <f aca="false">IF(E379&lt;100,"Small",IF(E379&lt;500,"Medium",IF(E379&lt;1500,"Large","Very Large")))</f>
        <v>Large</v>
      </c>
    </row>
    <row r="380" customFormat="false" ht="15" hidden="false" customHeight="false" outlineLevel="0" collapsed="false">
      <c r="A380" s="2" t="str">
        <f aca="false">'Raw Data'!A380</f>
        <v>ORD-8519</v>
      </c>
      <c r="B380" s="2" t="str">
        <f aca="false">IFERROR(DATEVALUE('Raw Data'!B380),"Check Format")</f>
        <v>Check Format</v>
      </c>
      <c r="C380" s="2" t="str">
        <f aca="false">IF('Raw Data'!E380="",IFERROR(INDEX('Raw Data'!$E$2:$E$501,MATCH('Raw Data'!D380,'Raw Data'!$D$2:$D$501,0)),"Unknown Customer"),'Raw Data'!E380)</f>
        <v>Kathryn Snyder</v>
      </c>
      <c r="D380" s="2" t="str">
        <f aca="false">PROPER(TRIM('Raw Data'!G380))</f>
        <v>Albany</v>
      </c>
      <c r="E380" s="2" t="n">
        <f aca="false">ROUND(VALUE(SUBSTITUTE(TRIM('Raw Data'!M380),"$","")),2)</f>
        <v>457.96</v>
      </c>
      <c r="F380" s="2" t="n">
        <f aca="false">IF('Raw Data'!O380="",0,'Raw Data'!O380)</f>
        <v>0</v>
      </c>
      <c r="G380" s="2" t="n">
        <f aca="false">ROUND('Raw Data'!P380,2)</f>
        <v>92.48</v>
      </c>
      <c r="H380" s="2" t="str">
        <f aca="false">IF('Raw Data'!S380="","Medium",'Raw Data'!S380)</f>
        <v>Low</v>
      </c>
      <c r="I380" s="2" t="str">
        <f aca="false">IF(E380&lt;100,"Small",IF(E380&lt;500,"Medium",IF(E380&lt;1500,"Large","Very Large")))</f>
        <v>Medium</v>
      </c>
    </row>
    <row r="381" customFormat="false" ht="15" hidden="false" customHeight="false" outlineLevel="0" collapsed="false">
      <c r="A381" s="2" t="str">
        <f aca="false">'Raw Data'!A381</f>
        <v>ORD-5656</v>
      </c>
      <c r="B381" s="3" t="n">
        <f aca="false">IFERROR(DATEVALUE('Raw Data'!B381),"Check Format")</f>
        <v>45844</v>
      </c>
      <c r="C381" s="2" t="str">
        <f aca="false">IF('Raw Data'!E381="",IFERROR(INDEX('Raw Data'!$E$2:$E$501,MATCH('Raw Data'!D381,'Raw Data'!$D$2:$D$501,0)),"Unknown Customer"),'Raw Data'!E381)</f>
        <v>Marie Moody</v>
      </c>
      <c r="D381" s="2" t="str">
        <f aca="false">PROPER(TRIM('Raw Data'!G381))</f>
        <v>Birmingham</v>
      </c>
      <c r="E381" s="2" t="n">
        <f aca="false">ROUND(VALUE(SUBSTITUTE(TRIM('Raw Data'!M381),"$","")),2)</f>
        <v>367.29</v>
      </c>
      <c r="F381" s="2" t="n">
        <f aca="false">IF('Raw Data'!O381="",0,'Raw Data'!O381)</f>
        <v>0.1</v>
      </c>
      <c r="G381" s="2" t="n">
        <f aca="false">ROUND('Raw Data'!P381,2)</f>
        <v>43.02</v>
      </c>
      <c r="H381" s="2" t="str">
        <f aca="false">IF('Raw Data'!S381="","Medium",'Raw Data'!S381)</f>
        <v>High</v>
      </c>
      <c r="I381" s="2" t="str">
        <f aca="false">IF(E381&lt;100,"Small",IF(E381&lt;500,"Medium",IF(E381&lt;1500,"Large","Very Large")))</f>
        <v>Medium</v>
      </c>
    </row>
    <row r="382" customFormat="false" ht="15" hidden="false" customHeight="false" outlineLevel="0" collapsed="false">
      <c r="A382" s="2" t="str">
        <f aca="false">'Raw Data'!A382</f>
        <v>ORD-14485</v>
      </c>
      <c r="B382" s="3" t="n">
        <f aca="false">IFERROR(DATEVALUE('Raw Data'!B382),"Check Format")</f>
        <v>46301</v>
      </c>
      <c r="C382" s="2" t="str">
        <f aca="false">IF('Raw Data'!E382="",IFERROR(INDEX('Raw Data'!$E$2:$E$501,MATCH('Raw Data'!D382,'Raw Data'!$D$2:$D$501,0)),"Unknown Customer"),'Raw Data'!E382)</f>
        <v>Jordan Chambers</v>
      </c>
      <c r="D382" s="2" t="str">
        <f aca="false">PROPER(TRIM('Raw Data'!G382))</f>
        <v>Los Angeles</v>
      </c>
      <c r="E382" s="2" t="n">
        <f aca="false">ROUND(VALUE(SUBSTITUTE(TRIM('Raw Data'!M382),"$","")),2)</f>
        <v>109.68</v>
      </c>
      <c r="F382" s="2" t="n">
        <f aca="false">IF('Raw Data'!O382="",0,'Raw Data'!O382)</f>
        <v>0.4</v>
      </c>
      <c r="G382" s="2" t="n">
        <f aca="false">ROUND('Raw Data'!P382,2)</f>
        <v>-1.2</v>
      </c>
      <c r="H382" s="2" t="str">
        <f aca="false">IF('Raw Data'!S382="","Medium",'Raw Data'!S382)</f>
        <v>Medium</v>
      </c>
      <c r="I382" s="2" t="str">
        <f aca="false">IF(E382&lt;100,"Small",IF(E382&lt;500,"Medium",IF(E382&lt;1500,"Large","Very Large")))</f>
        <v>Medium</v>
      </c>
    </row>
    <row r="383" customFormat="false" ht="15" hidden="false" customHeight="false" outlineLevel="0" collapsed="false">
      <c r="A383" s="2" t="str">
        <f aca="false">'Raw Data'!A383</f>
        <v>ORD-4387</v>
      </c>
      <c r="B383" s="3" t="n">
        <f aca="false">IFERROR(DATEVALUE('Raw Data'!B383),"Check Format")</f>
        <v>45913</v>
      </c>
      <c r="C383" s="2" t="str">
        <f aca="false">IF('Raw Data'!E383="",IFERROR(INDEX('Raw Data'!$E$2:$E$501,MATCH('Raw Data'!D383,'Raw Data'!$D$2:$D$501,0)),"Unknown Customer"),'Raw Data'!E383)</f>
        <v>Randy Smith</v>
      </c>
      <c r="D383" s="2" t="str">
        <f aca="false">PROPER(TRIM('Raw Data'!G383))</f>
        <v>Philadelphia</v>
      </c>
      <c r="E383" s="2" t="n">
        <f aca="false">ROUND(VALUE(SUBSTITUTE(TRIM('Raw Data'!M383),"$","")),2)</f>
        <v>485.01</v>
      </c>
      <c r="F383" s="2" t="n">
        <f aca="false">IF('Raw Data'!O383="",0,'Raw Data'!O383)</f>
        <v>0</v>
      </c>
      <c r="G383" s="2" t="n">
        <f aca="false">ROUND('Raw Data'!P383,2)</f>
        <v>215.62</v>
      </c>
      <c r="H383" s="2" t="str">
        <f aca="false">IF('Raw Data'!S383="","Medium",'Raw Data'!S383)</f>
        <v>High</v>
      </c>
      <c r="I383" s="2" t="str">
        <f aca="false">IF(E383&lt;100,"Small",IF(E383&lt;500,"Medium",IF(E383&lt;1500,"Large","Very Large")))</f>
        <v>Medium</v>
      </c>
    </row>
    <row r="384" customFormat="false" ht="15" hidden="false" customHeight="false" outlineLevel="0" collapsed="false">
      <c r="A384" s="2" t="str">
        <f aca="false">'Raw Data'!A384</f>
        <v>ORD-14164</v>
      </c>
      <c r="B384" s="3" t="n">
        <f aca="false">IFERROR(DATEVALUE('Raw Data'!B384),"Check Format")</f>
        <v>45240</v>
      </c>
      <c r="C384" s="2" t="str">
        <f aca="false">IF('Raw Data'!E384="",IFERROR(INDEX('Raw Data'!$E$2:$E$501,MATCH('Raw Data'!D384,'Raw Data'!$D$2:$D$501,0)),"Unknown Customer"),'Raw Data'!E384)</f>
        <v>Danielle Bryant</v>
      </c>
      <c r="D384" s="2" t="str">
        <f aca="false">PROPER(TRIM('Raw Data'!G384))</f>
        <v>Seattle</v>
      </c>
      <c r="E384" s="2" t="n">
        <f aca="false">ROUND(VALUE(SUBSTITUTE(TRIM('Raw Data'!M384),"$","")),2)</f>
        <v>95.5</v>
      </c>
      <c r="F384" s="2" t="n">
        <f aca="false">IF('Raw Data'!O384="",0,'Raw Data'!O384)</f>
        <v>0</v>
      </c>
      <c r="G384" s="2" t="n">
        <f aca="false">ROUND('Raw Data'!P384,2)</f>
        <v>19.03</v>
      </c>
      <c r="H384" s="2" t="str">
        <f aca="false">IF('Raw Data'!S384="","Medium",'Raw Data'!S384)</f>
        <v>High</v>
      </c>
      <c r="I384" s="2" t="str">
        <f aca="false">IF(E384&lt;100,"Small",IF(E384&lt;500,"Medium",IF(E384&lt;1500,"Large","Very Large")))</f>
        <v>Small</v>
      </c>
    </row>
    <row r="385" customFormat="false" ht="15" hidden="false" customHeight="false" outlineLevel="0" collapsed="false">
      <c r="A385" s="2" t="str">
        <f aca="false">'Raw Data'!A385</f>
        <v>ORD-17580</v>
      </c>
      <c r="B385" s="3" t="n">
        <f aca="false">IFERROR(DATEVALUE('Raw Data'!B385),"Check Format")</f>
        <v>45936</v>
      </c>
      <c r="C385" s="2" t="str">
        <f aca="false">IF('Raw Data'!E385="",IFERROR(INDEX('Raw Data'!$E$2:$E$501,MATCH('Raw Data'!D385,'Raw Data'!$D$2:$D$501,0)),"Unknown Customer"),'Raw Data'!E385)</f>
        <v>Dana Ruiz</v>
      </c>
      <c r="D385" s="2" t="str">
        <f aca="false">PROPER(TRIM('Raw Data'!G385))</f>
        <v/>
      </c>
      <c r="E385" s="2" t="n">
        <f aca="false">ROUND(VALUE(SUBSTITUTE(TRIM('Raw Data'!M385),"$","")),2)</f>
        <v>167.58</v>
      </c>
      <c r="F385" s="2" t="n">
        <f aca="false">IF('Raw Data'!O385="",0,'Raw Data'!O385)</f>
        <v>0.5</v>
      </c>
      <c r="G385" s="2" t="n">
        <f aca="false">ROUND('Raw Data'!P385,2)</f>
        <v>-55.09</v>
      </c>
      <c r="H385" s="2" t="str">
        <f aca="false">IF('Raw Data'!S385="","Medium",'Raw Data'!S385)</f>
        <v>Low</v>
      </c>
      <c r="I385" s="2" t="str">
        <f aca="false">IF(E385&lt;100,"Small",IF(E385&lt;500,"Medium",IF(E385&lt;1500,"Large","Very Large")))</f>
        <v>Medium</v>
      </c>
    </row>
    <row r="386" customFormat="false" ht="15" hidden="false" customHeight="false" outlineLevel="0" collapsed="false">
      <c r="A386" s="2" t="str">
        <f aca="false">'Raw Data'!A386</f>
        <v>ORD-3029</v>
      </c>
      <c r="B386" s="2" t="str">
        <f aca="false">IFERROR(DATEVALUE('Raw Data'!B386),"Check Format")</f>
        <v>Check Format</v>
      </c>
      <c r="C386" s="2" t="str">
        <f aca="false">IF('Raw Data'!E386="",IFERROR(INDEX('Raw Data'!$E$2:$E$501,MATCH('Raw Data'!D386,'Raw Data'!$D$2:$D$501,0)),"Unknown Customer"),'Raw Data'!E386)</f>
        <v>Victor Brown</v>
      </c>
      <c r="D386" s="2" t="str">
        <f aca="false">PROPER(TRIM('Raw Data'!G386))</f>
        <v>Montgomery</v>
      </c>
      <c r="E386" s="2" t="n">
        <f aca="false">ROUND(VALUE(SUBSTITUTE(TRIM('Raw Data'!M386),"$","")),2)</f>
        <v>7563.16</v>
      </c>
      <c r="F386" s="2" t="n">
        <f aca="false">IF('Raw Data'!O386="",0,'Raw Data'!O386)</f>
        <v>0</v>
      </c>
      <c r="G386" s="2" t="n">
        <f aca="false">ROUND('Raw Data'!P386,2)</f>
        <v>2759.53</v>
      </c>
      <c r="H386" s="2" t="str">
        <f aca="false">IF('Raw Data'!S386="","Medium",'Raw Data'!S386)</f>
        <v>High</v>
      </c>
      <c r="I386" s="2" t="str">
        <f aca="false">IF(E386&lt;100,"Small",IF(E386&lt;500,"Medium",IF(E386&lt;1500,"Large","Very Large")))</f>
        <v>Very Large</v>
      </c>
    </row>
    <row r="387" customFormat="false" ht="15" hidden="false" customHeight="false" outlineLevel="0" collapsed="false">
      <c r="A387" s="2" t="str">
        <f aca="false">'Raw Data'!A387</f>
        <v>ORD-16896</v>
      </c>
      <c r="B387" s="3" t="n">
        <f aca="false">IFERROR(DATEVALUE('Raw Data'!B387),"Check Format")</f>
        <v>45662</v>
      </c>
      <c r="C387" s="2" t="str">
        <f aca="false">IF('Raw Data'!E387="",IFERROR(INDEX('Raw Data'!$E$2:$E$501,MATCH('Raw Data'!D387,'Raw Data'!$D$2:$D$501,0)),"Unknown Customer"),'Raw Data'!E387)</f>
        <v>Darlene Miller</v>
      </c>
      <c r="D387" s="2" t="str">
        <f aca="false">PROPER(TRIM('Raw Data'!G387))</f>
        <v>Buffalo</v>
      </c>
      <c r="E387" s="2" t="n">
        <f aca="false">ROUND(VALUE(SUBSTITUTE(TRIM('Raw Data'!M387),"$","")),2)</f>
        <v>4809.66</v>
      </c>
      <c r="F387" s="2" t="n">
        <f aca="false">IF('Raw Data'!O387="",0,'Raw Data'!O387)</f>
        <v>0</v>
      </c>
      <c r="G387" s="2" t="n">
        <f aca="false">ROUND('Raw Data'!P387,2)</f>
        <v>1144.41</v>
      </c>
      <c r="H387" s="2" t="str">
        <f aca="false">IF('Raw Data'!S387="","Medium",'Raw Data'!S387)</f>
        <v>Medium</v>
      </c>
      <c r="I387" s="2" t="str">
        <f aca="false">IF(E387&lt;100,"Small",IF(E387&lt;500,"Medium",IF(E387&lt;1500,"Large","Very Large")))</f>
        <v>Very Large</v>
      </c>
    </row>
    <row r="388" customFormat="false" ht="15" hidden="false" customHeight="false" outlineLevel="0" collapsed="false">
      <c r="A388" s="2" t="str">
        <f aca="false">'Raw Data'!A388</f>
        <v>ORD-9087</v>
      </c>
      <c r="B388" s="3" t="n">
        <f aca="false">IFERROR(DATEVALUE('Raw Data'!B388),"Check Format")</f>
        <v>45472</v>
      </c>
      <c r="C388" s="2" t="str">
        <f aca="false">IF('Raw Data'!E388="",IFERROR(INDEX('Raw Data'!$E$2:$E$501,MATCH('Raw Data'!D388,'Raw Data'!$D$2:$D$501,0)),"Unknown Customer"),'Raw Data'!E388)</f>
        <v>Tina Sanders</v>
      </c>
      <c r="D388" s="2" t="str">
        <f aca="false">PROPER(TRIM('Raw Data'!G388))</f>
        <v>Minneapolis</v>
      </c>
      <c r="E388" s="2" t="n">
        <f aca="false">ROUND(VALUE(SUBSTITUTE(TRIM('Raw Data'!M388),"$","")),2)</f>
        <v>3675.28</v>
      </c>
      <c r="F388" s="2" t="n">
        <f aca="false">IF('Raw Data'!O388="",0,'Raw Data'!O388)</f>
        <v>0</v>
      </c>
      <c r="G388" s="2" t="n">
        <f aca="false">ROUND('Raw Data'!P388,2)</f>
        <v>892.69</v>
      </c>
      <c r="H388" s="2" t="str">
        <f aca="false">IF('Raw Data'!S388="","Medium",'Raw Data'!S388)</f>
        <v>Medium</v>
      </c>
      <c r="I388" s="2" t="str">
        <f aca="false">IF(E388&lt;100,"Small",IF(E388&lt;500,"Medium",IF(E388&lt;1500,"Large","Very Large")))</f>
        <v>Very Large</v>
      </c>
    </row>
    <row r="389" customFormat="false" ht="15" hidden="false" customHeight="false" outlineLevel="0" collapsed="false">
      <c r="A389" s="2" t="str">
        <f aca="false">'Raw Data'!A389</f>
        <v>ORD-17950</v>
      </c>
      <c r="B389" s="2" t="str">
        <f aca="false">IFERROR(DATEVALUE('Raw Data'!B389),"Check Format")</f>
        <v>Check Format</v>
      </c>
      <c r="C389" s="2" t="str">
        <f aca="false">IF('Raw Data'!E389="",IFERROR(INDEX('Raw Data'!$E$2:$E$501,MATCH('Raw Data'!D389,'Raw Data'!$D$2:$D$501,0)),"Unknown Customer"),'Raw Data'!E389)</f>
        <v>Amanda Terrell</v>
      </c>
      <c r="D389" s="2" t="str">
        <f aca="false">PROPER(TRIM('Raw Data'!G389))</f>
        <v>Duluth</v>
      </c>
      <c r="E389" s="2" t="n">
        <f aca="false">ROUND(VALUE(SUBSTITUTE(TRIM('Raw Data'!M389),"$","")),2)</f>
        <v>780.15</v>
      </c>
      <c r="F389" s="2" t="n">
        <f aca="false">IF('Raw Data'!O389="",0,'Raw Data'!O389)</f>
        <v>0.4</v>
      </c>
      <c r="G389" s="2" t="n">
        <f aca="false">ROUND('Raw Data'!P389,2)</f>
        <v>17.03</v>
      </c>
      <c r="H389" s="2" t="str">
        <f aca="false">IF('Raw Data'!S389="","Medium",'Raw Data'!S389)</f>
        <v>Medium</v>
      </c>
      <c r="I389" s="2" t="str">
        <f aca="false">IF(E389&lt;100,"Small",IF(E389&lt;500,"Medium",IF(E389&lt;1500,"Large","Very Large")))</f>
        <v>Large</v>
      </c>
    </row>
    <row r="390" customFormat="false" ht="15" hidden="false" customHeight="false" outlineLevel="0" collapsed="false">
      <c r="A390" s="2" t="str">
        <f aca="false">'Raw Data'!A390</f>
        <v>ORD-3460</v>
      </c>
      <c r="B390" s="2" t="str">
        <f aca="false">IFERROR(DATEVALUE('Raw Data'!B390),"Check Format")</f>
        <v>Check Format</v>
      </c>
      <c r="C390" s="2" t="str">
        <f aca="false">IF('Raw Data'!E390="",IFERROR(INDEX('Raw Data'!$E$2:$E$501,MATCH('Raw Data'!D390,'Raw Data'!$D$2:$D$501,0)),"Unknown Customer"),'Raw Data'!E390)</f>
        <v>Maria Fisher</v>
      </c>
      <c r="D390" s="2" t="str">
        <f aca="false">PROPER(TRIM('Raw Data'!G390))</f>
        <v>Savannah</v>
      </c>
      <c r="E390" s="2" t="n">
        <f aca="false">ROUND(VALUE(SUBSTITUTE(TRIM('Raw Data'!M390),"$","")),2)</f>
        <v>532.18</v>
      </c>
      <c r="F390" s="2" t="n">
        <f aca="false">IF('Raw Data'!O390="",0,'Raw Data'!O390)</f>
        <v>0.4</v>
      </c>
      <c r="G390" s="2" t="n">
        <f aca="false">ROUND('Raw Data'!P390,2)</f>
        <v>-9.45</v>
      </c>
      <c r="H390" s="2" t="str">
        <f aca="false">IF('Raw Data'!S390="","Medium",'Raw Data'!S390)</f>
        <v>Critical</v>
      </c>
      <c r="I390" s="2" t="str">
        <f aca="false">IF(E390&lt;100,"Small",IF(E390&lt;500,"Medium",IF(E390&lt;1500,"Large","Very Large")))</f>
        <v>Large</v>
      </c>
    </row>
    <row r="391" customFormat="false" ht="15" hidden="false" customHeight="false" outlineLevel="0" collapsed="false">
      <c r="A391" s="2" t="str">
        <f aca="false">'Raw Data'!A391</f>
        <v>ORD-7220</v>
      </c>
      <c r="B391" s="2" t="str">
        <f aca="false">IFERROR(DATEVALUE('Raw Data'!B391),"Check Format")</f>
        <v>Check Format</v>
      </c>
      <c r="C391" s="2" t="str">
        <f aca="false">IF('Raw Data'!E391="",IFERROR(INDEX('Raw Data'!$E$2:$E$501,MATCH('Raw Data'!D391,'Raw Data'!$D$2:$D$501,0)),"Unknown Customer"),'Raw Data'!E391)</f>
        <v>Anna Estes</v>
      </c>
      <c r="D391" s="2" t="str">
        <f aca="false">PROPER(TRIM('Raw Data'!G391))</f>
        <v>Memphis</v>
      </c>
      <c r="E391" s="2" t="n">
        <f aca="false">ROUND(VALUE(SUBSTITUTE(TRIM('Raw Data'!M391),"$","")),2)</f>
        <v>5.64</v>
      </c>
      <c r="F391" s="2" t="n">
        <f aca="false">IF('Raw Data'!O391="",0,'Raw Data'!O391)</f>
        <v>0</v>
      </c>
      <c r="G391" s="2" t="n">
        <f aca="false">ROUND('Raw Data'!P391,2)</f>
        <v>2.16</v>
      </c>
      <c r="H391" s="2" t="str">
        <f aca="false">IF('Raw Data'!S391="","Medium",'Raw Data'!S391)</f>
        <v>High</v>
      </c>
      <c r="I391" s="2" t="str">
        <f aca="false">IF(E391&lt;100,"Small",IF(E391&lt;500,"Medium",IF(E391&lt;1500,"Large","Very Large")))</f>
        <v>Small</v>
      </c>
    </row>
    <row r="392" customFormat="false" ht="15" hidden="false" customHeight="false" outlineLevel="0" collapsed="false">
      <c r="A392" s="2" t="str">
        <f aca="false">'Raw Data'!A392</f>
        <v>ORD-14057</v>
      </c>
      <c r="B392" s="3" t="n">
        <f aca="false">IFERROR(DATEVALUE('Raw Data'!B392),"Check Format")</f>
        <v>45944</v>
      </c>
      <c r="C392" s="2" t="str">
        <f aca="false">IF('Raw Data'!E392="",IFERROR(INDEX('Raw Data'!$E$2:$E$501,MATCH('Raw Data'!D392,'Raw Data'!$D$2:$D$501,0)),"Unknown Customer"),'Raw Data'!E392)</f>
        <v>Brandy Myers</v>
      </c>
      <c r="D392" s="2" t="str">
        <f aca="false">PROPER(TRIM('Raw Data'!G392))</f>
        <v>Phoenix</v>
      </c>
      <c r="E392" s="2" t="n">
        <f aca="false">ROUND(VALUE(SUBSTITUTE(TRIM('Raw Data'!M392),"$","")),2)</f>
        <v>5808.78</v>
      </c>
      <c r="F392" s="2" t="n">
        <f aca="false">IF('Raw Data'!O392="",0,'Raw Data'!O392)</f>
        <v>0</v>
      </c>
      <c r="G392" s="2" t="n">
        <f aca="false">ROUND('Raw Data'!P392,2)</f>
        <v>1620.23</v>
      </c>
      <c r="H392" s="2" t="str">
        <f aca="false">IF('Raw Data'!S392="","Medium",'Raw Data'!S392)</f>
        <v>Medium</v>
      </c>
      <c r="I392" s="2" t="str">
        <f aca="false">IF(E392&lt;100,"Small",IF(E392&lt;500,"Medium",IF(E392&lt;1500,"Large","Very Large")))</f>
        <v>Very Large</v>
      </c>
    </row>
    <row r="393" customFormat="false" ht="15" hidden="false" customHeight="false" outlineLevel="0" collapsed="false">
      <c r="A393" s="2" t="str">
        <f aca="false">'Raw Data'!A393</f>
        <v>ORD-4738</v>
      </c>
      <c r="B393" s="2" t="str">
        <f aca="false">IFERROR(DATEVALUE('Raw Data'!B393),"Check Format")</f>
        <v>Check Format</v>
      </c>
      <c r="C393" s="2" t="str">
        <f aca="false">IF('Raw Data'!E393="",IFERROR(INDEX('Raw Data'!$E$2:$E$501,MATCH('Raw Data'!D393,'Raw Data'!$D$2:$D$501,0)),"Unknown Customer"),'Raw Data'!E393)</f>
        <v>Ashley Smith</v>
      </c>
      <c r="D393" s="2" t="str">
        <f aca="false">PROPER(TRIM('Raw Data'!G393))</f>
        <v>Baton Rouge</v>
      </c>
      <c r="E393" s="2" t="n">
        <f aca="false">ROUND(VALUE(SUBSTITUTE(TRIM('Raw Data'!M393),"$","")),2)</f>
        <v>3084</v>
      </c>
      <c r="F393" s="2" t="n">
        <f aca="false">IF('Raw Data'!O393="",0,'Raw Data'!O393)</f>
        <v>0.15</v>
      </c>
      <c r="G393" s="2" t="n">
        <f aca="false">ROUND('Raw Data'!P393,2)</f>
        <v>270.01</v>
      </c>
      <c r="H393" s="2" t="str">
        <f aca="false">IF('Raw Data'!S393="","Medium",'Raw Data'!S393)</f>
        <v>High</v>
      </c>
      <c r="I393" s="2" t="str">
        <f aca="false">IF(E393&lt;100,"Small",IF(E393&lt;500,"Medium",IF(E393&lt;1500,"Large","Very Large")))</f>
        <v>Very Large</v>
      </c>
    </row>
    <row r="394" customFormat="false" ht="15" hidden="false" customHeight="false" outlineLevel="0" collapsed="false">
      <c r="A394" s="2" t="str">
        <f aca="false">'Raw Data'!A394</f>
        <v>ORD-14415</v>
      </c>
      <c r="B394" s="2" t="str">
        <f aca="false">IFERROR(DATEVALUE('Raw Data'!B394),"Check Format")</f>
        <v>Check Format</v>
      </c>
      <c r="C394" s="2" t="str">
        <f aca="false">IF('Raw Data'!E394="",IFERROR(INDEX('Raw Data'!$E$2:$E$501,MATCH('Raw Data'!D394,'Raw Data'!$D$2:$D$501,0)),"Unknown Customer"),'Raw Data'!E394)</f>
        <v>James Webster</v>
      </c>
      <c r="D394" s="2" t="str">
        <f aca="false">PROPER(TRIM('Raw Data'!G394))</f>
        <v>Houston</v>
      </c>
      <c r="E394" s="2" t="n">
        <f aca="false">ROUND(VALUE(SUBSTITUTE(TRIM('Raw Data'!M394),"$","")),2)</f>
        <v>29.56</v>
      </c>
      <c r="F394" s="2" t="n">
        <f aca="false">IF('Raw Data'!O394="",0,'Raw Data'!O394)</f>
        <v>0.2</v>
      </c>
      <c r="G394" s="2" t="n">
        <f aca="false">ROUND('Raw Data'!P394,2)</f>
        <v>7.01</v>
      </c>
      <c r="H394" s="2" t="str">
        <f aca="false">IF('Raw Data'!S394="","Medium",'Raw Data'!S394)</f>
        <v>Low</v>
      </c>
      <c r="I394" s="2" t="str">
        <f aca="false">IF(E394&lt;100,"Small",IF(E394&lt;500,"Medium",IF(E394&lt;1500,"Large","Very Large")))</f>
        <v>Small</v>
      </c>
    </row>
    <row r="395" customFormat="false" ht="15" hidden="false" customHeight="false" outlineLevel="0" collapsed="false">
      <c r="A395" s="2" t="str">
        <f aca="false">'Raw Data'!A395</f>
        <v>ORD-9036</v>
      </c>
      <c r="B395" s="2" t="str">
        <f aca="false">IFERROR(DATEVALUE('Raw Data'!B395),"Check Format")</f>
        <v>Check Format</v>
      </c>
      <c r="C395" s="2" t="str">
        <f aca="false">IF('Raw Data'!E395="",IFERROR(INDEX('Raw Data'!$E$2:$E$501,MATCH('Raw Data'!D395,'Raw Data'!$D$2:$D$501,0)),"Unknown Customer"),'Raw Data'!E395)</f>
        <v>Chelsea Lewis</v>
      </c>
      <c r="D395" s="2" t="str">
        <f aca="false">PROPER(TRIM('Raw Data'!G395))</f>
        <v>St. Louis</v>
      </c>
      <c r="E395" s="2" t="n">
        <f aca="false">ROUND(VALUE(SUBSTITUTE(TRIM('Raw Data'!M395),"$","")),2)</f>
        <v>2892.47</v>
      </c>
      <c r="F395" s="2" t="n">
        <f aca="false">IF('Raw Data'!O395="",0,'Raw Data'!O395)</f>
        <v>0.4</v>
      </c>
      <c r="G395" s="2" t="n">
        <f aca="false">ROUND('Raw Data'!P395,2)</f>
        <v>-269.36</v>
      </c>
      <c r="H395" s="2" t="str">
        <f aca="false">IF('Raw Data'!S395="","Medium",'Raw Data'!S395)</f>
        <v>Medium</v>
      </c>
      <c r="I395" s="2" t="str">
        <f aca="false">IF(E395&lt;100,"Small",IF(E395&lt;500,"Medium",IF(E395&lt;1500,"Large","Very Large")))</f>
        <v>Very Large</v>
      </c>
    </row>
    <row r="396" customFormat="false" ht="15" hidden="false" customHeight="false" outlineLevel="0" collapsed="false">
      <c r="A396" s="2" t="str">
        <f aca="false">'Raw Data'!A396</f>
        <v>ORD-10265</v>
      </c>
      <c r="B396" s="3" t="n">
        <f aca="false">IFERROR(DATEVALUE('Raw Data'!B396),"Check Format")</f>
        <v>46187</v>
      </c>
      <c r="C396" s="2" t="str">
        <f aca="false">IF('Raw Data'!E396="",IFERROR(INDEX('Raw Data'!$E$2:$E$501,MATCH('Raw Data'!D396,'Raw Data'!$D$2:$D$501,0)),"Unknown Customer"),'Raw Data'!E396)</f>
        <v>Veronica King</v>
      </c>
      <c r="D396" s="2" t="str">
        <f aca="false">PROPER(TRIM('Raw Data'!G396))</f>
        <v>Jersey City</v>
      </c>
      <c r="E396" s="2" t="n">
        <f aca="false">ROUND(VALUE(SUBSTITUTE(TRIM('Raw Data'!M396),"$","")),2)</f>
        <v>404.4</v>
      </c>
      <c r="F396" s="2" t="n">
        <f aca="false">IF('Raw Data'!O396="",0,'Raw Data'!O396)</f>
        <v>0.4</v>
      </c>
      <c r="G396" s="2" t="n">
        <f aca="false">ROUND('Raw Data'!P396,2)</f>
        <v>-5.27</v>
      </c>
      <c r="H396" s="2" t="str">
        <f aca="false">IF('Raw Data'!S396="","Medium",'Raw Data'!S396)</f>
        <v>High</v>
      </c>
      <c r="I396" s="2" t="str">
        <f aca="false">IF(E396&lt;100,"Small",IF(E396&lt;500,"Medium",IF(E396&lt;1500,"Large","Very Large")))</f>
        <v>Medium</v>
      </c>
    </row>
    <row r="397" customFormat="false" ht="15" hidden="false" customHeight="false" outlineLevel="0" collapsed="false">
      <c r="A397" s="2" t="str">
        <f aca="false">'Raw Data'!A397</f>
        <v>ORD-12865</v>
      </c>
      <c r="B397" s="3" t="n">
        <f aca="false">IFERROR(DATEVALUE('Raw Data'!B397),"Check Format")</f>
        <v>46185</v>
      </c>
      <c r="C397" s="2" t="str">
        <f aca="false">IF('Raw Data'!E397="",IFERROR(INDEX('Raw Data'!$E$2:$E$501,MATCH('Raw Data'!D397,'Raw Data'!$D$2:$D$501,0)),"Unknown Customer"),'Raw Data'!E397)</f>
        <v>Samantha Robertson</v>
      </c>
      <c r="D397" s="2" t="str">
        <f aca="false">PROPER(TRIM('Raw Data'!G397))</f>
        <v>Reno</v>
      </c>
      <c r="E397" s="2" t="n">
        <f aca="false">ROUND(VALUE(SUBSTITUTE(TRIM('Raw Data'!M397),"$","")),2)</f>
        <v>364.72</v>
      </c>
      <c r="F397" s="2" t="n">
        <f aca="false">IF('Raw Data'!O397="",0,'Raw Data'!O397)</f>
        <v>0</v>
      </c>
      <c r="G397" s="2" t="n">
        <f aca="false">ROUND('Raw Data'!P397,2)</f>
        <v>56.23</v>
      </c>
      <c r="H397" s="2" t="str">
        <f aca="false">IF('Raw Data'!S397="","Medium",'Raw Data'!S397)</f>
        <v>Critical</v>
      </c>
      <c r="I397" s="2" t="str">
        <f aca="false">IF(E397&lt;100,"Small",IF(E397&lt;500,"Medium",IF(E397&lt;1500,"Large","Very Large")))</f>
        <v>Medium</v>
      </c>
    </row>
    <row r="398" customFormat="false" ht="15" hidden="false" customHeight="false" outlineLevel="0" collapsed="false">
      <c r="A398" s="2" t="str">
        <f aca="false">'Raw Data'!A398</f>
        <v>ORD-10957</v>
      </c>
      <c r="B398" s="3" t="n">
        <f aca="false">IFERROR(DATEVALUE('Raw Data'!B398),"Check Format")</f>
        <v>45307</v>
      </c>
      <c r="C398" s="2" t="str">
        <f aca="false">IF('Raw Data'!E398="",IFERROR(INDEX('Raw Data'!$E$2:$E$501,MATCH('Raw Data'!D398,'Raw Data'!$D$2:$D$501,0)),"Unknown Customer"),'Raw Data'!E398)</f>
        <v>Sandy Baker</v>
      </c>
      <c r="D398" s="2" t="str">
        <f aca="false">PROPER(TRIM('Raw Data'!G398))</f>
        <v>Miami</v>
      </c>
      <c r="E398" s="2" t="n">
        <f aca="false">ROUND(VALUE(SUBSTITUTE(TRIM('Raw Data'!M398),"$","")),2)</f>
        <v>1858.4</v>
      </c>
      <c r="F398" s="2" t="n">
        <f aca="false">IF('Raw Data'!O398="",0,'Raw Data'!O398)</f>
        <v>0.3</v>
      </c>
      <c r="G398" s="2" t="n">
        <f aca="false">ROUND('Raw Data'!P398,2)</f>
        <v>-186.28</v>
      </c>
      <c r="H398" s="2" t="str">
        <f aca="false">IF('Raw Data'!S398="","Medium",'Raw Data'!S398)</f>
        <v>High</v>
      </c>
      <c r="I398" s="2" t="str">
        <f aca="false">IF(E398&lt;100,"Small",IF(E398&lt;500,"Medium",IF(E398&lt;1500,"Large","Very Large")))</f>
        <v>Very Large</v>
      </c>
    </row>
    <row r="399" customFormat="false" ht="15" hidden="false" customHeight="false" outlineLevel="0" collapsed="false">
      <c r="A399" s="2" t="str">
        <f aca="false">'Raw Data'!A399</f>
        <v>ORD-12542</v>
      </c>
      <c r="B399" s="3" t="n">
        <f aca="false">IFERROR(DATEVALUE('Raw Data'!B399),"Check Format")</f>
        <v>45413</v>
      </c>
      <c r="C399" s="2" t="str">
        <f aca="false">IF('Raw Data'!E399="",IFERROR(INDEX('Raw Data'!$E$2:$E$501,MATCH('Raw Data'!D399,'Raw Data'!$D$2:$D$501,0)),"Unknown Customer"),'Raw Data'!E399)</f>
        <v>Parker Cain</v>
      </c>
      <c r="D399" s="2" t="str">
        <f aca="false">PROPER(TRIM('Raw Data'!G399))</f>
        <v>Memphis</v>
      </c>
      <c r="E399" s="2" t="n">
        <f aca="false">ROUND(VALUE(SUBSTITUTE(TRIM('Raw Data'!M399),"$","")),2)</f>
        <v>2871.61</v>
      </c>
      <c r="F399" s="2" t="n">
        <f aca="false">IF('Raw Data'!O399="",0,'Raw Data'!O399)</f>
        <v>0.2</v>
      </c>
      <c r="G399" s="2" t="n">
        <f aca="false">ROUND('Raw Data'!P399,2)</f>
        <v>404.96</v>
      </c>
      <c r="H399" s="2" t="str">
        <f aca="false">IF('Raw Data'!S399="","Medium",'Raw Data'!S399)</f>
        <v>High</v>
      </c>
      <c r="I399" s="2" t="str">
        <f aca="false">IF(E399&lt;100,"Small",IF(E399&lt;500,"Medium",IF(E399&lt;1500,"Large","Very Large")))</f>
        <v>Very Large</v>
      </c>
    </row>
    <row r="400" customFormat="false" ht="15" hidden="false" customHeight="false" outlineLevel="0" collapsed="false">
      <c r="A400" s="2" t="str">
        <f aca="false">'Raw Data'!A400</f>
        <v>ORD-8276</v>
      </c>
      <c r="B400" s="3" t="n">
        <f aca="false">IFERROR(DATEVALUE('Raw Data'!B400),"Check Format")</f>
        <v>45302</v>
      </c>
      <c r="C400" s="2" t="str">
        <f aca="false">IF('Raw Data'!E400="",IFERROR(INDEX('Raw Data'!$E$2:$E$501,MATCH('Raw Data'!D400,'Raw Data'!$D$2:$D$501,0)),"Unknown Customer"),'Raw Data'!E400)</f>
        <v>Mary Henry</v>
      </c>
      <c r="D400" s="2" t="str">
        <f aca="false">PROPER(TRIM('Raw Data'!G400))</f>
        <v>Spokane</v>
      </c>
      <c r="E400" s="2" t="n">
        <f aca="false">ROUND(VALUE(SUBSTITUTE(TRIM('Raw Data'!M400),"$","")),2)</f>
        <v>1094.5</v>
      </c>
      <c r="F400" s="2" t="n">
        <f aca="false">IF('Raw Data'!O400="",0,'Raw Data'!O400)</f>
        <v>0.4</v>
      </c>
      <c r="G400" s="2" t="n">
        <f aca="false">ROUND('Raw Data'!P400,2)</f>
        <v>-175.2</v>
      </c>
      <c r="H400" s="2" t="str">
        <f aca="false">IF('Raw Data'!S400="","Medium",'Raw Data'!S400)</f>
        <v>Low</v>
      </c>
      <c r="I400" s="2" t="str">
        <f aca="false">IF(E400&lt;100,"Small",IF(E400&lt;500,"Medium",IF(E400&lt;1500,"Large","Very Large")))</f>
        <v>Large</v>
      </c>
    </row>
    <row r="401" customFormat="false" ht="15" hidden="false" customHeight="false" outlineLevel="0" collapsed="false">
      <c r="A401" s="2" t="str">
        <f aca="false">'Raw Data'!A401</f>
        <v>ORD-8062</v>
      </c>
      <c r="B401" s="2" t="str">
        <f aca="false">IFERROR(DATEVALUE('Raw Data'!B401),"Check Format")</f>
        <v>Check Format</v>
      </c>
      <c r="C401" s="2" t="str">
        <f aca="false">IF('Raw Data'!E401="",IFERROR(INDEX('Raw Data'!$E$2:$E$501,MATCH('Raw Data'!D401,'Raw Data'!$D$2:$D$501,0)),"Unknown Customer"),'Raw Data'!E401)</f>
        <v>Tamara Riddle</v>
      </c>
      <c r="D401" s="2" t="str">
        <f aca="false">PROPER(TRIM('Raw Data'!G401))</f>
        <v>Eugene</v>
      </c>
      <c r="E401" s="2" t="n">
        <f aca="false">ROUND(VALUE(SUBSTITUTE(TRIM('Raw Data'!M401),"$","")),2)</f>
        <v>1347.05</v>
      </c>
      <c r="F401" s="2" t="n">
        <f aca="false">IF('Raw Data'!O401="",0,'Raw Data'!O401)</f>
        <v>0.3</v>
      </c>
      <c r="G401" s="2" t="n">
        <f aca="false">ROUND('Raw Data'!P401,2)</f>
        <v>-54.77</v>
      </c>
      <c r="H401" s="2" t="str">
        <f aca="false">IF('Raw Data'!S401="","Medium",'Raw Data'!S401)</f>
        <v>Critical</v>
      </c>
      <c r="I401" s="2" t="str">
        <f aca="false">IF(E401&lt;100,"Small",IF(E401&lt;500,"Medium",IF(E401&lt;1500,"Large","Very Large")))</f>
        <v>Large</v>
      </c>
    </row>
    <row r="402" customFormat="false" ht="15" hidden="false" customHeight="false" outlineLevel="0" collapsed="false">
      <c r="A402" s="2" t="str">
        <f aca="false">'Raw Data'!A402</f>
        <v>ORD-7696</v>
      </c>
      <c r="B402" s="3" t="n">
        <f aca="false">IFERROR(DATEVALUE('Raw Data'!B402),"Check Format")</f>
        <v>45716</v>
      </c>
      <c r="C402" s="2" t="str">
        <f aca="false">IF('Raw Data'!E402="",IFERROR(INDEX('Raw Data'!$E$2:$E$501,MATCH('Raw Data'!D402,'Raw Data'!$D$2:$D$501,0)),"Unknown Customer"),'Raw Data'!E402)</f>
        <v>George Ochoa</v>
      </c>
      <c r="D402" s="2" t="str">
        <f aca="false">PROPER(TRIM('Raw Data'!G402))</f>
        <v>San Diego</v>
      </c>
      <c r="E402" s="2" t="n">
        <f aca="false">ROUND(VALUE(SUBSTITUTE(TRIM('Raw Data'!M402),"$","")),2)</f>
        <v>721.8</v>
      </c>
      <c r="F402" s="2" t="n">
        <f aca="false">IF('Raw Data'!O402="",0,'Raw Data'!O402)</f>
        <v>0.4</v>
      </c>
      <c r="G402" s="2" t="n">
        <f aca="false">ROUND('Raw Data'!P402,2)</f>
        <v>-140.98</v>
      </c>
      <c r="H402" s="2" t="str">
        <f aca="false">IF('Raw Data'!S402="","Medium",'Raw Data'!S402)</f>
        <v>High</v>
      </c>
      <c r="I402" s="2" t="str">
        <f aca="false">IF(E402&lt;100,"Small",IF(E402&lt;500,"Medium",IF(E402&lt;1500,"Large","Very Large")))</f>
        <v>Large</v>
      </c>
    </row>
    <row r="403" customFormat="false" ht="15" hidden="false" customHeight="false" outlineLevel="0" collapsed="false">
      <c r="A403" s="2" t="str">
        <f aca="false">'Raw Data'!A403</f>
        <v>ORD-6137</v>
      </c>
      <c r="B403" s="3" t="n">
        <f aca="false">IFERROR(DATEVALUE('Raw Data'!B403),"Check Format")</f>
        <v>45485</v>
      </c>
      <c r="C403" s="2" t="str">
        <f aca="false">IF('Raw Data'!E403="",IFERROR(INDEX('Raw Data'!$E$2:$E$501,MATCH('Raw Data'!D403,'Raw Data'!$D$2:$D$501,0)),"Unknown Customer"),'Raw Data'!E403)</f>
        <v>Sherry Decker</v>
      </c>
      <c r="D403" s="2" t="str">
        <f aca="false">PROPER(TRIM('Raw Data'!G403))</f>
        <v>New Orleans</v>
      </c>
      <c r="E403" s="2" t="n">
        <f aca="false">ROUND(VALUE(SUBSTITUTE(TRIM('Raw Data'!M403),"$","")),2)</f>
        <v>556.82</v>
      </c>
      <c r="F403" s="2" t="n">
        <f aca="false">IF('Raw Data'!O403="",0,'Raw Data'!O403)</f>
        <v>0.3</v>
      </c>
      <c r="G403" s="2" t="n">
        <f aca="false">ROUND('Raw Data'!P403,2)</f>
        <v>-54.44</v>
      </c>
      <c r="H403" s="2" t="str">
        <f aca="false">IF('Raw Data'!S403="","Medium",'Raw Data'!S403)</f>
        <v>Medium</v>
      </c>
      <c r="I403" s="2" t="str">
        <f aca="false">IF(E403&lt;100,"Small",IF(E403&lt;500,"Medium",IF(E403&lt;1500,"Large","Very Large")))</f>
        <v>Large</v>
      </c>
    </row>
    <row r="404" customFormat="false" ht="15" hidden="false" customHeight="false" outlineLevel="0" collapsed="false">
      <c r="A404" s="2" t="str">
        <f aca="false">'Raw Data'!A404</f>
        <v>ORD-11077</v>
      </c>
      <c r="B404" s="3" t="n">
        <f aca="false">IFERROR(DATEVALUE('Raw Data'!B404),"Check Format")</f>
        <v>45348</v>
      </c>
      <c r="C404" s="2" t="str">
        <f aca="false">IF('Raw Data'!E404="",IFERROR(INDEX('Raw Data'!$E$2:$E$501,MATCH('Raw Data'!D404,'Raw Data'!$D$2:$D$501,0)),"Unknown Customer"),'Raw Data'!E404)</f>
        <v>Megan Nelson</v>
      </c>
      <c r="D404" s="2" t="str">
        <f aca="false">PROPER(TRIM('Raw Data'!G404))</f>
        <v>Portland</v>
      </c>
      <c r="E404" s="2" t="n">
        <f aca="false">ROUND(VALUE(SUBSTITUTE(TRIM('Raw Data'!M404),"$","")),2)</f>
        <v>4183.68</v>
      </c>
      <c r="F404" s="2" t="n">
        <f aca="false">IF('Raw Data'!O404="",0,'Raw Data'!O404)</f>
        <v>0.4</v>
      </c>
      <c r="G404" s="2" t="n">
        <f aca="false">ROUND('Raw Data'!P404,2)</f>
        <v>128.8</v>
      </c>
      <c r="H404" s="2" t="str">
        <f aca="false">IF('Raw Data'!S404="","Medium",'Raw Data'!S404)</f>
        <v>Low</v>
      </c>
      <c r="I404" s="2" t="str">
        <f aca="false">IF(E404&lt;100,"Small",IF(E404&lt;500,"Medium",IF(E404&lt;1500,"Large","Very Large")))</f>
        <v>Very Large</v>
      </c>
    </row>
    <row r="405" customFormat="false" ht="15" hidden="false" customHeight="false" outlineLevel="0" collapsed="false">
      <c r="A405" s="2" t="str">
        <f aca="false">'Raw Data'!A405</f>
        <v>ORD-14300</v>
      </c>
      <c r="B405" s="2" t="str">
        <f aca="false">IFERROR(DATEVALUE('Raw Data'!B405),"Check Format")</f>
        <v>Check Format</v>
      </c>
      <c r="C405" s="2" t="str">
        <f aca="false">IF('Raw Data'!E405="",IFERROR(INDEX('Raw Data'!$E$2:$E$501,MATCH('Raw Data'!D405,'Raw Data'!$D$2:$D$501,0)),"Unknown Customer"),'Raw Data'!E405)</f>
        <v>Miss Tina Gordon</v>
      </c>
      <c r="D405" s="2" t="str">
        <f aca="false">PROPER(TRIM('Raw Data'!G405))</f>
        <v>Chicago</v>
      </c>
      <c r="E405" s="2" t="n">
        <f aca="false">ROUND(VALUE(SUBSTITUTE(TRIM('Raw Data'!M405),"$","")),2)</f>
        <v>359.76</v>
      </c>
      <c r="F405" s="2" t="n">
        <f aca="false">IF('Raw Data'!O405="",0,'Raw Data'!O405)</f>
        <v>0.15</v>
      </c>
      <c r="G405" s="2" t="n">
        <f aca="false">ROUND('Raw Data'!P405,2)</f>
        <v>51.16</v>
      </c>
      <c r="H405" s="2" t="str">
        <f aca="false">IF('Raw Data'!S405="","Medium",'Raw Data'!S405)</f>
        <v>Critical</v>
      </c>
      <c r="I405" s="2" t="str">
        <f aca="false">IF(E405&lt;100,"Small",IF(E405&lt;500,"Medium",IF(E405&lt;1500,"Large","Very Large")))</f>
        <v>Medium</v>
      </c>
    </row>
    <row r="406" customFormat="false" ht="15" hidden="false" customHeight="false" outlineLevel="0" collapsed="false">
      <c r="A406" s="2" t="str">
        <f aca="false">'Raw Data'!A406</f>
        <v>ORD-9334</v>
      </c>
      <c r="B406" s="3" t="n">
        <f aca="false">IFERROR(DATEVALUE('Raw Data'!B406),"Check Format")</f>
        <v>45798</v>
      </c>
      <c r="C406" s="2" t="str">
        <f aca="false">IF('Raw Data'!E406="",IFERROR(INDEX('Raw Data'!$E$2:$E$501,MATCH('Raw Data'!D406,'Raw Data'!$D$2:$D$501,0)),"Unknown Customer"),'Raw Data'!E406)</f>
        <v>Katherine Salas</v>
      </c>
      <c r="D406" s="2" t="str">
        <f aca="false">PROPER(TRIM('Raw Data'!G406))</f>
        <v>Las Vegas</v>
      </c>
      <c r="E406" s="2" t="n">
        <f aca="false">ROUND(VALUE(SUBSTITUTE(TRIM('Raw Data'!M406),"$","")),2)</f>
        <v>152.5</v>
      </c>
      <c r="F406" s="2" t="n">
        <f aca="false">IF('Raw Data'!O406="",0,'Raw Data'!O406)</f>
        <v>0.3</v>
      </c>
      <c r="G406" s="2" t="n">
        <f aca="false">ROUND('Raw Data'!P406,2)</f>
        <v>21.96</v>
      </c>
      <c r="H406" s="2" t="str">
        <f aca="false">IF('Raw Data'!S406="","Medium",'Raw Data'!S406)</f>
        <v>Low</v>
      </c>
      <c r="I406" s="2" t="str">
        <f aca="false">IF(E406&lt;100,"Small",IF(E406&lt;500,"Medium",IF(E406&lt;1500,"Large","Very Large")))</f>
        <v>Medium</v>
      </c>
    </row>
    <row r="407" customFormat="false" ht="15" hidden="false" customHeight="false" outlineLevel="0" collapsed="false">
      <c r="A407" s="2" t="str">
        <f aca="false">'Raw Data'!A407</f>
        <v>ORD-14808</v>
      </c>
      <c r="B407" s="2" t="str">
        <f aca="false">IFERROR(DATEVALUE('Raw Data'!B407),"Check Format")</f>
        <v>Check Format</v>
      </c>
      <c r="C407" s="2" t="str">
        <f aca="false">IF('Raw Data'!E407="",IFERROR(INDEX('Raw Data'!$E$2:$E$501,MATCH('Raw Data'!D407,'Raw Data'!$D$2:$D$501,0)),"Unknown Customer"),'Raw Data'!E407)</f>
        <v>Stephanie Cooper</v>
      </c>
      <c r="D407" s="2" t="str">
        <f aca="false">PROPER(TRIM('Raw Data'!G407))</f>
        <v>Tacoma</v>
      </c>
      <c r="E407" s="2" t="n">
        <f aca="false">ROUND(VALUE(SUBSTITUTE(TRIM('Raw Data'!M407),"$","")),2)</f>
        <v>1257.5</v>
      </c>
      <c r="F407" s="2" t="n">
        <f aca="false">IF('Raw Data'!O407="",0,'Raw Data'!O407)</f>
        <v>0.15</v>
      </c>
      <c r="G407" s="2" t="n">
        <f aca="false">ROUND('Raw Data'!P407,2)</f>
        <v>299.2</v>
      </c>
      <c r="H407" s="2" t="str">
        <f aca="false">IF('Raw Data'!S407="","Medium",'Raw Data'!S407)</f>
        <v>High</v>
      </c>
      <c r="I407" s="2" t="str">
        <f aca="false">IF(E407&lt;100,"Small",IF(E407&lt;500,"Medium",IF(E407&lt;1500,"Large","Very Large")))</f>
        <v>Large</v>
      </c>
    </row>
    <row r="408" customFormat="false" ht="15" hidden="false" customHeight="false" outlineLevel="0" collapsed="false">
      <c r="A408" s="2" t="str">
        <f aca="false">'Raw Data'!A408</f>
        <v>ORD-10393</v>
      </c>
      <c r="B408" s="3" t="n">
        <f aca="false">IFERROR(DATEVALUE('Raw Data'!B408),"Check Format")</f>
        <v>46149</v>
      </c>
      <c r="C408" s="2" t="str">
        <f aca="false">IF('Raw Data'!E408="",IFERROR(INDEX('Raw Data'!$E$2:$E$501,MATCH('Raw Data'!D408,'Raw Data'!$D$2:$D$501,0)),"Unknown Customer"),'Raw Data'!E408)</f>
        <v>Kimberly Myers</v>
      </c>
      <c r="D408" s="2" t="str">
        <f aca="false">PROPER(TRIM('Raw Data'!G408))</f>
        <v>Seattle</v>
      </c>
      <c r="E408" s="2" t="n">
        <f aca="false">ROUND(VALUE(SUBSTITUTE(TRIM('Raw Data'!M408),"$","")),2)</f>
        <v>216.4</v>
      </c>
      <c r="F408" s="2" t="n">
        <f aca="false">IF('Raw Data'!O408="",0,'Raw Data'!O408)</f>
        <v>0.15</v>
      </c>
      <c r="G408" s="2" t="n">
        <f aca="false">ROUND('Raw Data'!P408,2)</f>
        <v>31.12</v>
      </c>
      <c r="H408" s="2" t="str">
        <f aca="false">IF('Raw Data'!S408="","Medium",'Raw Data'!S408)</f>
        <v>Low</v>
      </c>
      <c r="I408" s="2" t="str">
        <f aca="false">IF(E408&lt;100,"Small",IF(E408&lt;500,"Medium",IF(E408&lt;1500,"Large","Very Large")))</f>
        <v>Medium</v>
      </c>
    </row>
    <row r="409" customFormat="false" ht="15" hidden="false" customHeight="false" outlineLevel="0" collapsed="false">
      <c r="A409" s="2" t="str">
        <f aca="false">'Raw Data'!A409</f>
        <v>ORD-11636</v>
      </c>
      <c r="B409" s="3" t="n">
        <f aca="false">IFERROR(DATEVALUE('Raw Data'!B409),"Check Format")</f>
        <v>45254</v>
      </c>
      <c r="C409" s="2" t="str">
        <f aca="false">IF('Raw Data'!E409="",IFERROR(INDEX('Raw Data'!$E$2:$E$501,MATCH('Raw Data'!D409,'Raw Data'!$D$2:$D$501,0)),"Unknown Customer"),'Raw Data'!E409)</f>
        <v>Breanna Rivas</v>
      </c>
      <c r="D409" s="2" t="str">
        <f aca="false">PROPER(TRIM('Raw Data'!G409))</f>
        <v>St. Louis</v>
      </c>
      <c r="E409" s="2" t="n">
        <f aca="false">ROUND(VALUE(SUBSTITUTE(TRIM('Raw Data'!M409),"$","")),2)</f>
        <v>174.96</v>
      </c>
      <c r="F409" s="2" t="n">
        <f aca="false">IF('Raw Data'!O409="",0,'Raw Data'!O409)</f>
        <v>0.3</v>
      </c>
      <c r="G409" s="2" t="n">
        <f aca="false">ROUND('Raw Data'!P409,2)</f>
        <v>-23.45</v>
      </c>
      <c r="H409" s="2" t="str">
        <f aca="false">IF('Raw Data'!S409="","Medium",'Raw Data'!S409)</f>
        <v>High</v>
      </c>
      <c r="I409" s="2" t="str">
        <f aca="false">IF(E409&lt;100,"Small",IF(E409&lt;500,"Medium",IF(E409&lt;1500,"Large","Very Large")))</f>
        <v>Medium</v>
      </c>
    </row>
    <row r="410" customFormat="false" ht="15" hidden="false" customHeight="false" outlineLevel="0" collapsed="false">
      <c r="A410" s="2" t="str">
        <f aca="false">'Raw Data'!A410</f>
        <v>ORD-4762</v>
      </c>
      <c r="B410" s="3" t="n">
        <f aca="false">IFERROR(DATEVALUE('Raw Data'!B410),"Check Format")</f>
        <v>46357</v>
      </c>
      <c r="C410" s="2" t="str">
        <f aca="false">IF('Raw Data'!E410="",IFERROR(INDEX('Raw Data'!$E$2:$E$501,MATCH('Raw Data'!D410,'Raw Data'!$D$2:$D$501,0)),"Unknown Customer"),'Raw Data'!E410)</f>
        <v>Jesse Lynch</v>
      </c>
      <c r="D410" s="2" t="str">
        <f aca="false">PROPER(TRIM('Raw Data'!G410))</f>
        <v>Lexington</v>
      </c>
      <c r="E410" s="2" t="n">
        <f aca="false">ROUND(VALUE(SUBSTITUTE(TRIM('Raw Data'!M410),"$","")),2)</f>
        <v>13.74</v>
      </c>
      <c r="F410" s="2" t="n">
        <f aca="false">IF('Raw Data'!O410="",0,'Raw Data'!O410)</f>
        <v>0.4</v>
      </c>
      <c r="G410" s="2" t="n">
        <f aca="false">ROUND('Raw Data'!P410,2)</f>
        <v>0.24</v>
      </c>
      <c r="H410" s="2" t="str">
        <f aca="false">IF('Raw Data'!S410="","Medium",'Raw Data'!S410)</f>
        <v>Critical</v>
      </c>
      <c r="I410" s="2" t="str">
        <f aca="false">IF(E410&lt;100,"Small",IF(E410&lt;500,"Medium",IF(E410&lt;1500,"Large","Very Large")))</f>
        <v>Small</v>
      </c>
    </row>
    <row r="411" customFormat="false" ht="15" hidden="false" customHeight="false" outlineLevel="0" collapsed="false">
      <c r="A411" s="2" t="str">
        <f aca="false">'Raw Data'!A411</f>
        <v>ORD-13708</v>
      </c>
      <c r="B411" s="3" t="n">
        <f aca="false">IFERROR(DATEVALUE('Raw Data'!B411),"Check Format")</f>
        <v>45241</v>
      </c>
      <c r="C411" s="2" t="str">
        <f aca="false">IF('Raw Data'!E411="",IFERROR(INDEX('Raw Data'!$E$2:$E$501,MATCH('Raw Data'!D411,'Raw Data'!$D$2:$D$501,0)),"Unknown Customer"),'Raw Data'!E411)</f>
        <v>Samuel Turner</v>
      </c>
      <c r="D411" s="2" t="str">
        <f aca="false">PROPER(TRIM('Raw Data'!G411))</f>
        <v>Boulder</v>
      </c>
      <c r="E411" s="2" t="n">
        <f aca="false">ROUND(VALUE(SUBSTITUTE(TRIM('Raw Data'!M411),"$","")),2)</f>
        <v>583.25</v>
      </c>
      <c r="F411" s="2" t="n">
        <f aca="false">IF('Raw Data'!O411="",0,'Raw Data'!O411)</f>
        <v>0</v>
      </c>
      <c r="G411" s="2" t="n">
        <f aca="false">ROUND('Raw Data'!P411,2)</f>
        <v>171.79</v>
      </c>
      <c r="H411" s="2" t="str">
        <f aca="false">IF('Raw Data'!S411="","Medium",'Raw Data'!S411)</f>
        <v>Critical</v>
      </c>
      <c r="I411" s="2" t="str">
        <f aca="false">IF(E411&lt;100,"Small",IF(E411&lt;500,"Medium",IF(E411&lt;1500,"Large","Very Large")))</f>
        <v>Large</v>
      </c>
    </row>
    <row r="412" customFormat="false" ht="15" hidden="false" customHeight="false" outlineLevel="0" collapsed="false">
      <c r="A412" s="2" t="str">
        <f aca="false">'Raw Data'!A412</f>
        <v>ORD-3310</v>
      </c>
      <c r="B412" s="3" t="n">
        <f aca="false">IFERROR(DATEVALUE('Raw Data'!B412),"Check Format")</f>
        <v>45594</v>
      </c>
      <c r="C412" s="2" t="str">
        <f aca="false">IF('Raw Data'!E412="",IFERROR(INDEX('Raw Data'!$E$2:$E$501,MATCH('Raw Data'!D412,'Raw Data'!$D$2:$D$501,0)),"Unknown Customer"),'Raw Data'!E412)</f>
        <v>Michelle Brown</v>
      </c>
      <c r="D412" s="2" t="str">
        <f aca="false">PROPER(TRIM('Raw Data'!G412))</f>
        <v>Boston</v>
      </c>
      <c r="E412" s="2" t="n">
        <f aca="false">ROUND(VALUE(SUBSTITUTE(TRIM('Raw Data'!M412),"$","")),2)</f>
        <v>107.91</v>
      </c>
      <c r="F412" s="2" t="n">
        <f aca="false">IF('Raw Data'!O412="",0,'Raw Data'!O412)</f>
        <v>0</v>
      </c>
      <c r="G412" s="2" t="n">
        <f aca="false">ROUND('Raw Data'!P412,2)</f>
        <v>33.13</v>
      </c>
      <c r="H412" s="2" t="str">
        <f aca="false">IF('Raw Data'!S412="","Medium",'Raw Data'!S412)</f>
        <v>Critical</v>
      </c>
      <c r="I412" s="2" t="str">
        <f aca="false">IF(E412&lt;100,"Small",IF(E412&lt;500,"Medium",IF(E412&lt;1500,"Large","Very Large")))</f>
        <v>Medium</v>
      </c>
    </row>
    <row r="413" customFormat="false" ht="15" hidden="false" customHeight="false" outlineLevel="0" collapsed="false">
      <c r="A413" s="2" t="str">
        <f aca="false">'Raw Data'!A413</f>
        <v>ORD-14427</v>
      </c>
      <c r="B413" s="3" t="n">
        <f aca="false">IFERROR(DATEVALUE('Raw Data'!B413),"Check Format")</f>
        <v>45730</v>
      </c>
      <c r="C413" s="2" t="str">
        <f aca="false">IF('Raw Data'!E413="",IFERROR(INDEX('Raw Data'!$E$2:$E$501,MATCH('Raw Data'!D413,'Raw Data'!$D$2:$D$501,0)),"Unknown Customer"),'Raw Data'!E413)</f>
        <v>Mary Miller</v>
      </c>
      <c r="D413" s="2" t="str">
        <f aca="false">PROPER(TRIM('Raw Data'!G413))</f>
        <v>Louisville</v>
      </c>
      <c r="E413" s="2" t="n">
        <f aca="false">ROUND(VALUE(SUBSTITUTE(TRIM('Raw Data'!M413),"$","")),2)</f>
        <v>2332.89</v>
      </c>
      <c r="F413" s="2" t="n">
        <f aca="false">IF('Raw Data'!O413="",0,'Raw Data'!O413)</f>
        <v>0</v>
      </c>
      <c r="G413" s="2" t="n">
        <f aca="false">ROUND('Raw Data'!P413,2)</f>
        <v>482.19</v>
      </c>
      <c r="H413" s="2" t="str">
        <f aca="false">IF('Raw Data'!S413="","Medium",'Raw Data'!S413)</f>
        <v>Low</v>
      </c>
      <c r="I413" s="2" t="str">
        <f aca="false">IF(E413&lt;100,"Small",IF(E413&lt;500,"Medium",IF(E413&lt;1500,"Large","Very Large")))</f>
        <v>Very Large</v>
      </c>
    </row>
    <row r="414" customFormat="false" ht="15" hidden="false" customHeight="false" outlineLevel="0" collapsed="false">
      <c r="A414" s="2" t="str">
        <f aca="false">'Raw Data'!A414</f>
        <v>ORD-16683</v>
      </c>
      <c r="B414" s="2" t="str">
        <f aca="false">IFERROR(DATEVALUE('Raw Data'!B414),"Check Format")</f>
        <v>Check Format</v>
      </c>
      <c r="C414" s="2" t="str">
        <f aca="false">IF('Raw Data'!E414="",IFERROR(INDEX('Raw Data'!$E$2:$E$501,MATCH('Raw Data'!D414,'Raw Data'!$D$2:$D$501,0)),"Unknown Customer"),'Raw Data'!E414)</f>
        <v>Mark Cox</v>
      </c>
      <c r="D414" s="2" t="str">
        <f aca="false">PROPER(TRIM('Raw Data'!G414))</f>
        <v>Detroit</v>
      </c>
      <c r="E414" s="2" t="n">
        <f aca="false">ROUND(VALUE(SUBSTITUTE(TRIM('Raw Data'!M414),"$","")),2)</f>
        <v>536.8</v>
      </c>
      <c r="F414" s="2" t="n">
        <f aca="false">IF('Raw Data'!O414="",0,'Raw Data'!O414)</f>
        <v>0.3</v>
      </c>
      <c r="G414" s="2" t="n">
        <f aca="false">ROUND('Raw Data'!P414,2)</f>
        <v>49.82</v>
      </c>
      <c r="H414" s="2" t="str">
        <f aca="false">IF('Raw Data'!S414="","Medium",'Raw Data'!S414)</f>
        <v>Critical</v>
      </c>
      <c r="I414" s="2" t="str">
        <f aca="false">IF(E414&lt;100,"Small",IF(E414&lt;500,"Medium",IF(E414&lt;1500,"Large","Very Large")))</f>
        <v>Large</v>
      </c>
    </row>
    <row r="415" customFormat="false" ht="15" hidden="false" customHeight="false" outlineLevel="0" collapsed="false">
      <c r="A415" s="2" t="str">
        <f aca="false">'Raw Data'!A415</f>
        <v>ORD-8726</v>
      </c>
      <c r="B415" s="2" t="str">
        <f aca="false">IFERROR(DATEVALUE('Raw Data'!B415),"Check Format")</f>
        <v>Check Format</v>
      </c>
      <c r="C415" s="2" t="n">
        <f aca="false">IF('Raw Data'!E415="",IFERROR(INDEX('Raw Data'!$E$2:$E$501,MATCH('Raw Data'!D415,'Raw Data'!$D$2:$D$501,0)),"Unknown Customer"),'Raw Data'!E415)</f>
        <v>0</v>
      </c>
      <c r="D415" s="2" t="str">
        <f aca="false">PROPER(TRIM('Raw Data'!G415))</f>
        <v>Orlando</v>
      </c>
      <c r="E415" s="2" t="n">
        <f aca="false">ROUND(VALUE(SUBSTITUTE(TRIM('Raw Data'!M415),"$","")),2)</f>
        <v>490</v>
      </c>
      <c r="F415" s="2" t="n">
        <f aca="false">IF('Raw Data'!O415="",0,'Raw Data'!O415)</f>
        <v>0.4</v>
      </c>
      <c r="G415" s="2" t="n">
        <f aca="false">ROUND('Raw Data'!P415,2)</f>
        <v>-0.46</v>
      </c>
      <c r="H415" s="2" t="str">
        <f aca="false">IF('Raw Data'!S415="","Medium",'Raw Data'!S415)</f>
        <v>High</v>
      </c>
      <c r="I415" s="2" t="str">
        <f aca="false">IF(E415&lt;100,"Small",IF(E415&lt;500,"Medium",IF(E415&lt;1500,"Large","Very Large")))</f>
        <v>Medium</v>
      </c>
    </row>
    <row r="416" customFormat="false" ht="15" hidden="false" customHeight="false" outlineLevel="0" collapsed="false">
      <c r="A416" s="2" t="str">
        <f aca="false">'Raw Data'!A416</f>
        <v>ORD-17097</v>
      </c>
      <c r="B416" s="3" t="n">
        <f aca="false">IFERROR(DATEVALUE('Raw Data'!B416),"Check Format")</f>
        <v>45877</v>
      </c>
      <c r="C416" s="2" t="str">
        <f aca="false">IF('Raw Data'!E416="",IFERROR(INDEX('Raw Data'!$E$2:$E$501,MATCH('Raw Data'!D416,'Raw Data'!$D$2:$D$501,0)),"Unknown Customer"),'Raw Data'!E416)</f>
        <v>Holly Valentine</v>
      </c>
      <c r="D416" s="2" t="str">
        <f aca="false">PROPER(TRIM('Raw Data'!G416))</f>
        <v>Chicago</v>
      </c>
      <c r="E416" s="2" t="n">
        <f aca="false">ROUND(VALUE(SUBSTITUTE(TRIM('Raw Data'!M416),"$","")),2)</f>
        <v>61.4</v>
      </c>
      <c r="F416" s="2" t="n">
        <f aca="false">IF('Raw Data'!O416="",0,'Raw Data'!O416)</f>
        <v>0</v>
      </c>
      <c r="G416" s="2" t="n">
        <f aca="false">ROUND('Raw Data'!P416,2)</f>
        <v>12.56</v>
      </c>
      <c r="H416" s="2" t="str">
        <f aca="false">IF('Raw Data'!S416="","Medium",'Raw Data'!S416)</f>
        <v>Medium</v>
      </c>
      <c r="I416" s="2" t="str">
        <f aca="false">IF(E416&lt;100,"Small",IF(E416&lt;500,"Medium",IF(E416&lt;1500,"Large","Very Large")))</f>
        <v>Small</v>
      </c>
    </row>
    <row r="417" customFormat="false" ht="15" hidden="false" customHeight="false" outlineLevel="0" collapsed="false">
      <c r="A417" s="2" t="str">
        <f aca="false">'Raw Data'!A417</f>
        <v>ORD-12648</v>
      </c>
      <c r="B417" s="3" t="n">
        <f aca="false">IFERROR(DATEVALUE('Raw Data'!B417),"Check Format")</f>
        <v>46023</v>
      </c>
      <c r="C417" s="2" t="str">
        <f aca="false">IF('Raw Data'!E417="",IFERROR(INDEX('Raw Data'!$E$2:$E$501,MATCH('Raw Data'!D417,'Raw Data'!$D$2:$D$501,0)),"Unknown Customer"),'Raw Data'!E417)</f>
        <v>William Barrett</v>
      </c>
      <c r="D417" s="2" t="str">
        <f aca="false">PROPER(TRIM('Raw Data'!G417))</f>
        <v>Pittsburgh</v>
      </c>
      <c r="E417" s="2" t="n">
        <f aca="false">ROUND(VALUE(SUBSTITUTE(TRIM('Raw Data'!M417),"$","")),2)</f>
        <v>373.14</v>
      </c>
      <c r="F417" s="2" t="n">
        <f aca="false">IF('Raw Data'!O417="",0,'Raw Data'!O417)</f>
        <v>0.15</v>
      </c>
      <c r="G417" s="2" t="n">
        <f aca="false">ROUND('Raw Data'!P417,2)</f>
        <v>102.71</v>
      </c>
      <c r="H417" s="2" t="str">
        <f aca="false">IF('Raw Data'!S417="","Medium",'Raw Data'!S417)</f>
        <v>Critical</v>
      </c>
      <c r="I417" s="2" t="str">
        <f aca="false">IF(E417&lt;100,"Small",IF(E417&lt;500,"Medium",IF(E417&lt;1500,"Large","Very Large")))</f>
        <v>Medium</v>
      </c>
    </row>
    <row r="418" customFormat="false" ht="15" hidden="false" customHeight="false" outlineLevel="0" collapsed="false">
      <c r="A418" s="2" t="str">
        <f aca="false">'Raw Data'!A418</f>
        <v>ORD-15887</v>
      </c>
      <c r="B418" s="3" t="n">
        <f aca="false">IFERROR(DATEVALUE('Raw Data'!B418),"Check Format")</f>
        <v>45150</v>
      </c>
      <c r="C418" s="2" t="str">
        <f aca="false">IF('Raw Data'!E418="",IFERROR(INDEX('Raw Data'!$E$2:$E$501,MATCH('Raw Data'!D418,'Raw Data'!$D$2:$D$501,0)),"Unknown Customer"),'Raw Data'!E418)</f>
        <v>Heather Parrish</v>
      </c>
      <c r="D418" s="2" t="str">
        <f aca="false">PROPER(TRIM('Raw Data'!G418))</f>
        <v>Houston</v>
      </c>
      <c r="E418" s="2" t="n">
        <f aca="false">ROUND(VALUE(SUBSTITUTE(TRIM('Raw Data'!M418),"$","")),2)</f>
        <v>31.4</v>
      </c>
      <c r="F418" s="2" t="n">
        <f aca="false">IF('Raw Data'!O418="",0,'Raw Data'!O418)</f>
        <v>0.5</v>
      </c>
      <c r="G418" s="2" t="n">
        <f aca="false">ROUND('Raw Data'!P418,2)</f>
        <v>-3.82</v>
      </c>
      <c r="H418" s="2" t="str">
        <f aca="false">IF('Raw Data'!S418="","Medium",'Raw Data'!S418)</f>
        <v>Medium</v>
      </c>
      <c r="I418" s="2" t="str">
        <f aca="false">IF(E418&lt;100,"Small",IF(E418&lt;500,"Medium",IF(E418&lt;1500,"Large","Very Large")))</f>
        <v>Small</v>
      </c>
    </row>
    <row r="419" customFormat="false" ht="15" hidden="false" customHeight="false" outlineLevel="0" collapsed="false">
      <c r="A419" s="2" t="str">
        <f aca="false">'Raw Data'!A419</f>
        <v>ORD-3726</v>
      </c>
      <c r="B419" s="2" t="str">
        <f aca="false">IFERROR(DATEVALUE('Raw Data'!B419),"Check Format")</f>
        <v>Check Format</v>
      </c>
      <c r="C419" s="2" t="str">
        <f aca="false">IF('Raw Data'!E419="",IFERROR(INDEX('Raw Data'!$E$2:$E$501,MATCH('Raw Data'!D419,'Raw Data'!$D$2:$D$501,0)),"Unknown Customer"),'Raw Data'!E419)</f>
        <v>Dr. Samuel Holmes DDS</v>
      </c>
      <c r="D419" s="2" t="str">
        <f aca="false">PROPER(TRIM('Raw Data'!G419))</f>
        <v>Spokane</v>
      </c>
      <c r="E419" s="2" t="n">
        <f aca="false">ROUND(VALUE(SUBSTITUTE(TRIM('Raw Data'!M419),"$","")),2)</f>
        <v>436.32</v>
      </c>
      <c r="F419" s="2" t="n">
        <f aca="false">IF('Raw Data'!O419="",0,'Raw Data'!O419)</f>
        <v>0.4</v>
      </c>
      <c r="G419" s="2" t="n">
        <f aca="false">ROUND('Raw Data'!P419,2)</f>
        <v>-107.42</v>
      </c>
      <c r="H419" s="2" t="str">
        <f aca="false">IF('Raw Data'!S419="","Medium",'Raw Data'!S419)</f>
        <v>High</v>
      </c>
      <c r="I419" s="2" t="str">
        <f aca="false">IF(E419&lt;100,"Small",IF(E419&lt;500,"Medium",IF(E419&lt;1500,"Large","Very Large")))</f>
        <v>Medium</v>
      </c>
    </row>
    <row r="420" customFormat="false" ht="15" hidden="false" customHeight="false" outlineLevel="0" collapsed="false">
      <c r="A420" s="2" t="str">
        <f aca="false">'Raw Data'!A420</f>
        <v>ORD-8304</v>
      </c>
      <c r="B420" s="3" t="n">
        <f aca="false">IFERROR(DATEVALUE('Raw Data'!B420),"Check Format")</f>
        <v>45774</v>
      </c>
      <c r="C420" s="2" t="str">
        <f aca="false">IF('Raw Data'!E420="",IFERROR(INDEX('Raw Data'!$E$2:$E$501,MATCH('Raw Data'!D420,'Raw Data'!$D$2:$D$501,0)),"Unknown Customer"),'Raw Data'!E420)</f>
        <v>Dana Ruiz</v>
      </c>
      <c r="D420" s="2" t="str">
        <f aca="false">PROPER(TRIM('Raw Data'!G420))</f>
        <v>Las Vegas</v>
      </c>
      <c r="E420" s="2" t="n">
        <f aca="false">ROUND(VALUE(SUBSTITUTE(TRIM('Raw Data'!M420),"$","")),2)</f>
        <v>78.24</v>
      </c>
      <c r="F420" s="2" t="n">
        <f aca="false">IF('Raw Data'!O420="",0,'Raw Data'!O420)</f>
        <v>0.5</v>
      </c>
      <c r="G420" s="2" t="n">
        <f aca="false">ROUND('Raw Data'!P420,2)</f>
        <v>-27.05</v>
      </c>
      <c r="H420" s="2" t="str">
        <f aca="false">IF('Raw Data'!S420="","Medium",'Raw Data'!S420)</f>
        <v>Critical</v>
      </c>
      <c r="I420" s="2" t="str">
        <f aca="false">IF(E420&lt;100,"Small",IF(E420&lt;500,"Medium",IF(E420&lt;1500,"Large","Very Large")))</f>
        <v>Small</v>
      </c>
    </row>
    <row r="421" customFormat="false" ht="15" hidden="false" customHeight="false" outlineLevel="0" collapsed="false">
      <c r="A421" s="2" t="str">
        <f aca="false">'Raw Data'!A421</f>
        <v>ORD-12478</v>
      </c>
      <c r="B421" s="3" t="n">
        <f aca="false">IFERROR(DATEVALUE('Raw Data'!B421),"Check Format")</f>
        <v>45546</v>
      </c>
      <c r="C421" s="2" t="str">
        <f aca="false">IF('Raw Data'!E421="",IFERROR(INDEX('Raw Data'!$E$2:$E$501,MATCH('Raw Data'!D421,'Raw Data'!$D$2:$D$501,0)),"Unknown Customer"),'Raw Data'!E421)</f>
        <v>Andrew Cruz</v>
      </c>
      <c r="D421" s="2" t="str">
        <f aca="false">PROPER(TRIM('Raw Data'!G421))</f>
        <v>Atlanta</v>
      </c>
      <c r="E421" s="2" t="n">
        <f aca="false">ROUND(VALUE(SUBSTITUTE(TRIM('Raw Data'!M421),"$","")),2)</f>
        <v>241</v>
      </c>
      <c r="F421" s="2" t="n">
        <f aca="false">IF('Raw Data'!O421="",0,'Raw Data'!O421)</f>
        <v>0.3</v>
      </c>
      <c r="G421" s="2" t="n">
        <f aca="false">ROUND('Raw Data'!P421,2)</f>
        <v>2.56</v>
      </c>
      <c r="H421" s="2" t="str">
        <f aca="false">IF('Raw Data'!S421="","Medium",'Raw Data'!S421)</f>
        <v>High</v>
      </c>
      <c r="I421" s="2" t="str">
        <f aca="false">IF(E421&lt;100,"Small",IF(E421&lt;500,"Medium",IF(E421&lt;1500,"Large","Very Large")))</f>
        <v>Medium</v>
      </c>
    </row>
    <row r="422" customFormat="false" ht="15" hidden="false" customHeight="false" outlineLevel="0" collapsed="false">
      <c r="A422" s="2" t="str">
        <f aca="false">'Raw Data'!A422</f>
        <v>ORD-6615</v>
      </c>
      <c r="B422" s="2" t="str">
        <f aca="false">IFERROR(DATEVALUE('Raw Data'!B422),"Check Format")</f>
        <v>Check Format</v>
      </c>
      <c r="C422" s="2" t="str">
        <f aca="false">IF('Raw Data'!E422="",IFERROR(INDEX('Raw Data'!$E$2:$E$501,MATCH('Raw Data'!D422,'Raw Data'!$D$2:$D$501,0)),"Unknown Customer"),'Raw Data'!E422)</f>
        <v>Ralph Yoder</v>
      </c>
      <c r="D422" s="2" t="str">
        <f aca="false">PROPER(TRIM('Raw Data'!G422))</f>
        <v>Buffalo</v>
      </c>
      <c r="E422" s="2" t="n">
        <f aca="false">ROUND(VALUE(SUBSTITUTE(TRIM('Raw Data'!M422),"$","")),2)</f>
        <v>34.3</v>
      </c>
      <c r="F422" s="2" t="n">
        <f aca="false">IF('Raw Data'!O422="",0,'Raw Data'!O422)</f>
        <v>0.3</v>
      </c>
      <c r="G422" s="2" t="n">
        <f aca="false">ROUND('Raw Data'!P422,2)</f>
        <v>3.76</v>
      </c>
      <c r="H422" s="2" t="str">
        <f aca="false">IF('Raw Data'!S422="","Medium",'Raw Data'!S422)</f>
        <v>High</v>
      </c>
      <c r="I422" s="2" t="str">
        <f aca="false">IF(E422&lt;100,"Small",IF(E422&lt;500,"Medium",IF(E422&lt;1500,"Large","Very Large")))</f>
        <v>Small</v>
      </c>
    </row>
    <row r="423" customFormat="false" ht="15" hidden="false" customHeight="false" outlineLevel="0" collapsed="false">
      <c r="A423" s="2" t="str">
        <f aca="false">'Raw Data'!A423</f>
        <v>ORD-4458</v>
      </c>
      <c r="B423" s="2" t="str">
        <f aca="false">IFERROR(DATEVALUE('Raw Data'!B423),"Check Format")</f>
        <v>Check Format</v>
      </c>
      <c r="C423" s="2" t="str">
        <f aca="false">IF('Raw Data'!E423="",IFERROR(INDEX('Raw Data'!$E$2:$E$501,MATCH('Raw Data'!D423,'Raw Data'!$D$2:$D$501,0)),"Unknown Customer"),'Raw Data'!E423)</f>
        <v>Carrie Valdez</v>
      </c>
      <c r="D423" s="2" t="str">
        <f aca="false">PROPER(TRIM('Raw Data'!G423))</f>
        <v>Norfolk</v>
      </c>
      <c r="E423" s="2" t="n">
        <f aca="false">ROUND(VALUE(SUBSTITUTE(TRIM('Raw Data'!M423),"$","")),2)</f>
        <v>1627.92</v>
      </c>
      <c r="F423" s="2" t="n">
        <f aca="false">IF('Raw Data'!O423="",0,'Raw Data'!O423)</f>
        <v>0.2</v>
      </c>
      <c r="G423" s="2" t="n">
        <f aca="false">ROUND('Raw Data'!P423,2)</f>
        <v>238.03</v>
      </c>
      <c r="H423" s="2" t="str">
        <f aca="false">IF('Raw Data'!S423="","Medium",'Raw Data'!S423)</f>
        <v>Low</v>
      </c>
      <c r="I423" s="2" t="str">
        <f aca="false">IF(E423&lt;100,"Small",IF(E423&lt;500,"Medium",IF(E423&lt;1500,"Large","Very Large")))</f>
        <v>Very Large</v>
      </c>
    </row>
    <row r="424" customFormat="false" ht="15" hidden="false" customHeight="false" outlineLevel="0" collapsed="false">
      <c r="A424" s="2" t="str">
        <f aca="false">'Raw Data'!A424</f>
        <v>ORD-15723</v>
      </c>
      <c r="B424" s="3" t="n">
        <f aca="false">IFERROR(DATEVALUE('Raw Data'!B424),"Check Format")</f>
        <v>46085</v>
      </c>
      <c r="C424" s="2" t="str">
        <f aca="false">IF('Raw Data'!E424="",IFERROR(INDEX('Raw Data'!$E$2:$E$501,MATCH('Raw Data'!D424,'Raw Data'!$D$2:$D$501,0)),"Unknown Customer"),'Raw Data'!E424)</f>
        <v>Julian Conner</v>
      </c>
      <c r="D424" s="2" t="str">
        <f aca="false">PROPER(TRIM('Raw Data'!G424))</f>
        <v/>
      </c>
      <c r="E424" s="2" t="n">
        <f aca="false">ROUND(VALUE(SUBSTITUTE(TRIM('Raw Data'!M424),"$","")),2)</f>
        <v>1403.36</v>
      </c>
      <c r="F424" s="2" t="n">
        <f aca="false">IF('Raw Data'!O424="",0,'Raw Data'!O424)</f>
        <v>0.4</v>
      </c>
      <c r="G424" s="2" t="n">
        <f aca="false">ROUND('Raw Data'!P424,2)</f>
        <v>7.43</v>
      </c>
      <c r="H424" s="2" t="str">
        <f aca="false">IF('Raw Data'!S424="","Medium",'Raw Data'!S424)</f>
        <v>Medium</v>
      </c>
      <c r="I424" s="2" t="str">
        <f aca="false">IF(E424&lt;100,"Small",IF(E424&lt;500,"Medium",IF(E424&lt;1500,"Large","Very Large")))</f>
        <v>Large</v>
      </c>
    </row>
    <row r="425" customFormat="false" ht="15" hidden="false" customHeight="false" outlineLevel="0" collapsed="false">
      <c r="A425" s="2" t="str">
        <f aca="false">'Raw Data'!A425</f>
        <v>ORD-17181</v>
      </c>
      <c r="B425" s="3" t="n">
        <f aca="false">IFERROR(DATEVALUE('Raw Data'!B425),"Check Format")</f>
        <v>45586</v>
      </c>
      <c r="C425" s="2" t="str">
        <f aca="false">IF('Raw Data'!E425="",IFERROR(INDEX('Raw Data'!$E$2:$E$501,MATCH('Raw Data'!D425,'Raw Data'!$D$2:$D$501,0)),"Unknown Customer"),'Raw Data'!E425)</f>
        <v>Phillip Nelson</v>
      </c>
      <c r="D425" s="2" t="str">
        <f aca="false">PROPER(TRIM('Raw Data'!G425))</f>
        <v>Springfield</v>
      </c>
      <c r="E425" s="2" t="n">
        <f aca="false">ROUND(VALUE(SUBSTITUTE(TRIM('Raw Data'!M425),"$","")),2)</f>
        <v>728.46</v>
      </c>
      <c r="F425" s="2" t="n">
        <f aca="false">IF('Raw Data'!O425="",0,'Raw Data'!O425)</f>
        <v>0.1</v>
      </c>
      <c r="G425" s="2" t="n">
        <f aca="false">ROUND('Raw Data'!P425,2)</f>
        <v>237.86</v>
      </c>
      <c r="H425" s="2" t="str">
        <f aca="false">IF('Raw Data'!S425="","Medium",'Raw Data'!S425)</f>
        <v>Low</v>
      </c>
      <c r="I425" s="2" t="str">
        <f aca="false">IF(E425&lt;100,"Small",IF(E425&lt;500,"Medium",IF(E425&lt;1500,"Large","Very Large")))</f>
        <v>Large</v>
      </c>
    </row>
    <row r="426" customFormat="false" ht="15" hidden="false" customHeight="false" outlineLevel="0" collapsed="false">
      <c r="A426" s="2" t="str">
        <f aca="false">'Raw Data'!A426</f>
        <v>ORD-10503</v>
      </c>
      <c r="B426" s="3" t="n">
        <f aca="false">IFERROR(DATEVALUE('Raw Data'!B426),"Check Format")</f>
        <v>45842</v>
      </c>
      <c r="C426" s="2" t="str">
        <f aca="false">IF('Raw Data'!E426="",IFERROR(INDEX('Raw Data'!$E$2:$E$501,MATCH('Raw Data'!D426,'Raw Data'!$D$2:$D$501,0)),"Unknown Customer"),'Raw Data'!E426)</f>
        <v>Donna Beck</v>
      </c>
      <c r="D426" s="2" t="str">
        <f aca="false">PROPER(TRIM('Raw Data'!G426))</f>
        <v>Denver</v>
      </c>
      <c r="E426" s="2" t="n">
        <f aca="false">ROUND(VALUE(SUBSTITUTE(TRIM('Raw Data'!M426),"$","")),2)</f>
        <v>1880.55</v>
      </c>
      <c r="F426" s="2" t="n">
        <f aca="false">IF('Raw Data'!O426="",0,'Raw Data'!O426)</f>
        <v>0</v>
      </c>
      <c r="G426" s="2" t="n">
        <f aca="false">ROUND('Raw Data'!P426,2)</f>
        <v>641.91</v>
      </c>
      <c r="H426" s="2" t="str">
        <f aca="false">IF('Raw Data'!S426="","Medium",'Raw Data'!S426)</f>
        <v>Critical</v>
      </c>
      <c r="I426" s="2" t="str">
        <f aca="false">IF(E426&lt;100,"Small",IF(E426&lt;500,"Medium",IF(E426&lt;1500,"Large","Very Large")))</f>
        <v>Very Large</v>
      </c>
    </row>
    <row r="427" customFormat="false" ht="15" hidden="false" customHeight="false" outlineLevel="0" collapsed="false">
      <c r="A427" s="2" t="str">
        <f aca="false">'Raw Data'!A427</f>
        <v>ORD-13438</v>
      </c>
      <c r="B427" s="3" t="n">
        <f aca="false">IFERROR(DATEVALUE('Raw Data'!B427),"Check Format")</f>
        <v>45583</v>
      </c>
      <c r="C427" s="2" t="str">
        <f aca="false">IF('Raw Data'!E427="",IFERROR(INDEX('Raw Data'!$E$2:$E$501,MATCH('Raw Data'!D427,'Raw Data'!$D$2:$D$501,0)),"Unknown Customer"),'Raw Data'!E427)</f>
        <v>Jeffery Ortega</v>
      </c>
      <c r="D427" s="2" t="str">
        <f aca="false">PROPER(TRIM('Raw Data'!G427))</f>
        <v>Portland</v>
      </c>
      <c r="E427" s="2" t="n">
        <f aca="false">ROUND(VALUE(SUBSTITUTE(TRIM('Raw Data'!M427),"$","")),2)</f>
        <v>2989.5</v>
      </c>
      <c r="F427" s="2" t="n">
        <f aca="false">IF('Raw Data'!O427="",0,'Raw Data'!O427)</f>
        <v>0.15</v>
      </c>
      <c r="G427" s="2" t="n">
        <f aca="false">ROUND('Raw Data'!P427,2)</f>
        <v>409.29</v>
      </c>
      <c r="H427" s="2" t="str">
        <f aca="false">IF('Raw Data'!S427="","Medium",'Raw Data'!S427)</f>
        <v>Low</v>
      </c>
      <c r="I427" s="2" t="str">
        <f aca="false">IF(E427&lt;100,"Small",IF(E427&lt;500,"Medium",IF(E427&lt;1500,"Large","Very Large")))</f>
        <v>Very Large</v>
      </c>
    </row>
    <row r="428" customFormat="false" ht="15" hidden="false" customHeight="false" outlineLevel="0" collapsed="false">
      <c r="A428" s="2" t="str">
        <f aca="false">'Raw Data'!A428</f>
        <v>ORD-7914</v>
      </c>
      <c r="B428" s="3" t="n">
        <f aca="false">IFERROR(DATEVALUE('Raw Data'!B428),"Check Format")</f>
        <v>46105</v>
      </c>
      <c r="C428" s="2" t="str">
        <f aca="false">IF('Raw Data'!E428="",IFERROR(INDEX('Raw Data'!$E$2:$E$501,MATCH('Raw Data'!D428,'Raw Data'!$D$2:$D$501,0)),"Unknown Customer"),'Raw Data'!E428)</f>
        <v>Alicia Li</v>
      </c>
      <c r="D428" s="2" t="str">
        <f aca="false">PROPER(TRIM('Raw Data'!G428))</f>
        <v>Boston</v>
      </c>
      <c r="E428" s="2" t="n">
        <f aca="false">ROUND(VALUE(SUBSTITUTE(TRIM('Raw Data'!M428),"$","")),2)</f>
        <v>944.85</v>
      </c>
      <c r="F428" s="2" t="n">
        <f aca="false">IF('Raw Data'!O428="",0,'Raw Data'!O428)</f>
        <v>0.3</v>
      </c>
      <c r="G428" s="2" t="n">
        <f aca="false">ROUND('Raw Data'!P428,2)</f>
        <v>0.4</v>
      </c>
      <c r="H428" s="2" t="str">
        <f aca="false">IF('Raw Data'!S428="","Medium",'Raw Data'!S428)</f>
        <v>Critical</v>
      </c>
      <c r="I428" s="2" t="str">
        <f aca="false">IF(E428&lt;100,"Small",IF(E428&lt;500,"Medium",IF(E428&lt;1500,"Large","Very Large")))</f>
        <v>Large</v>
      </c>
    </row>
    <row r="429" customFormat="false" ht="15" hidden="false" customHeight="false" outlineLevel="0" collapsed="false">
      <c r="A429" s="2" t="str">
        <f aca="false">'Raw Data'!A429</f>
        <v>ORD-17275</v>
      </c>
      <c r="B429" s="3" t="n">
        <f aca="false">IFERROR(DATEVALUE('Raw Data'!B429),"Check Format")</f>
        <v>45469</v>
      </c>
      <c r="C429" s="2" t="str">
        <f aca="false">IF('Raw Data'!E429="",IFERROR(INDEX('Raw Data'!$E$2:$E$501,MATCH('Raw Data'!D429,'Raw Data'!$D$2:$D$501,0)),"Unknown Customer"),'Raw Data'!E429)</f>
        <v>Kathryn Snyder</v>
      </c>
      <c r="D429" s="2" t="str">
        <f aca="false">PROPER(TRIM('Raw Data'!G429))</f>
        <v>Miami</v>
      </c>
      <c r="E429" s="2" t="n">
        <f aca="false">ROUND(VALUE(SUBSTITUTE(TRIM('Raw Data'!M429),"$","")),2)</f>
        <v>1881.11</v>
      </c>
      <c r="F429" s="2" t="n">
        <f aca="false">IF('Raw Data'!O429="",0,'Raw Data'!O429)</f>
        <v>0</v>
      </c>
      <c r="G429" s="2" t="n">
        <f aca="false">ROUND('Raw Data'!P429,2)</f>
        <v>402.6</v>
      </c>
      <c r="H429" s="2" t="str">
        <f aca="false">IF('Raw Data'!S429="","Medium",'Raw Data'!S429)</f>
        <v>Low</v>
      </c>
      <c r="I429" s="2" t="str">
        <f aca="false">IF(E429&lt;100,"Small",IF(E429&lt;500,"Medium",IF(E429&lt;1500,"Large","Very Large")))</f>
        <v>Very Large</v>
      </c>
    </row>
    <row r="430" customFormat="false" ht="15" hidden="false" customHeight="false" outlineLevel="0" collapsed="false">
      <c r="A430" s="2" t="str">
        <f aca="false">'Raw Data'!A430</f>
        <v>ORD-7494</v>
      </c>
      <c r="B430" s="3" t="n">
        <f aca="false">IFERROR(DATEVALUE('Raw Data'!B430),"Check Format")</f>
        <v>45843</v>
      </c>
      <c r="C430" s="2" t="n">
        <f aca="false">IF('Raw Data'!E430="",IFERROR(INDEX('Raw Data'!$E$2:$E$501,MATCH('Raw Data'!D430,'Raw Data'!$D$2:$D$501,0)),"Unknown Customer"),'Raw Data'!E430)</f>
        <v>0</v>
      </c>
      <c r="D430" s="2" t="str">
        <f aca="false">PROPER(TRIM('Raw Data'!G430))</f>
        <v>Jersey City</v>
      </c>
      <c r="E430" s="2" t="n">
        <f aca="false">ROUND(VALUE(SUBSTITUTE(TRIM('Raw Data'!M430),"$","")),2)</f>
        <v>42.03</v>
      </c>
      <c r="F430" s="2" t="n">
        <f aca="false">IF('Raw Data'!O430="",0,'Raw Data'!O430)</f>
        <v>0.2</v>
      </c>
      <c r="G430" s="2" t="n">
        <f aca="false">ROUND('Raw Data'!P430,2)</f>
        <v>9.45</v>
      </c>
      <c r="H430" s="2" t="str">
        <f aca="false">IF('Raw Data'!S430="","Medium",'Raw Data'!S430)</f>
        <v>High</v>
      </c>
      <c r="I430" s="2" t="str">
        <f aca="false">IF(E430&lt;100,"Small",IF(E430&lt;500,"Medium",IF(E430&lt;1500,"Large","Very Large")))</f>
        <v>Small</v>
      </c>
    </row>
    <row r="431" customFormat="false" ht="15" hidden="false" customHeight="false" outlineLevel="0" collapsed="false">
      <c r="A431" s="2" t="str">
        <f aca="false">'Raw Data'!A431</f>
        <v>ORD-14056</v>
      </c>
      <c r="B431" s="3" t="n">
        <f aca="false">IFERROR(DATEVALUE('Raw Data'!B431),"Check Format")</f>
        <v>45664</v>
      </c>
      <c r="C431" s="2" t="str">
        <f aca="false">IF('Raw Data'!E431="",IFERROR(INDEX('Raw Data'!$E$2:$E$501,MATCH('Raw Data'!D431,'Raw Data'!$D$2:$D$501,0)),"Unknown Customer"),'Raw Data'!E431)</f>
        <v>Susan Powers</v>
      </c>
      <c r="D431" s="2" t="str">
        <f aca="false">PROPER(TRIM('Raw Data'!G431))</f>
        <v>Atlanta</v>
      </c>
      <c r="E431" s="2" t="n">
        <f aca="false">ROUND(VALUE(SUBSTITUTE(TRIM('Raw Data'!M431),"$","")),2)</f>
        <v>615.89</v>
      </c>
      <c r="F431" s="2" t="n">
        <f aca="false">IF('Raw Data'!O431="",0,'Raw Data'!O431)</f>
        <v>0.3</v>
      </c>
      <c r="G431" s="2" t="n">
        <f aca="false">ROUND('Raw Data'!P431,2)</f>
        <v>23.94</v>
      </c>
      <c r="H431" s="2" t="str">
        <f aca="false">IF('Raw Data'!S431="","Medium",'Raw Data'!S431)</f>
        <v>High</v>
      </c>
      <c r="I431" s="2" t="str">
        <f aca="false">IF(E431&lt;100,"Small",IF(E431&lt;500,"Medium",IF(E431&lt;1500,"Large","Very Large")))</f>
        <v>Large</v>
      </c>
    </row>
    <row r="432" customFormat="false" ht="15" hidden="false" customHeight="false" outlineLevel="0" collapsed="false">
      <c r="A432" s="2" t="str">
        <f aca="false">'Raw Data'!A432</f>
        <v>ORD-14949</v>
      </c>
      <c r="B432" s="2" t="str">
        <f aca="false">IFERROR(DATEVALUE('Raw Data'!B432),"Check Format")</f>
        <v>Check Format</v>
      </c>
      <c r="C432" s="2" t="str">
        <f aca="false">IF('Raw Data'!E432="",IFERROR(INDEX('Raw Data'!$E$2:$E$501,MATCH('Raw Data'!D432,'Raw Data'!$D$2:$D$501,0)),"Unknown Customer"),'Raw Data'!E432)</f>
        <v>Evelyn Galvan</v>
      </c>
      <c r="D432" s="2" t="str">
        <f aca="false">PROPER(TRIM('Raw Data'!G432))</f>
        <v>San Francisco</v>
      </c>
      <c r="E432" s="2" t="n">
        <f aca="false">ROUND(VALUE(SUBSTITUTE(TRIM('Raw Data'!M432),"$","")),2)</f>
        <v>168.21</v>
      </c>
      <c r="F432" s="2" t="n">
        <f aca="false">IF('Raw Data'!O432="",0,'Raw Data'!O432)</f>
        <v>0.1</v>
      </c>
      <c r="G432" s="2" t="n">
        <f aca="false">ROUND('Raw Data'!P432,2)</f>
        <v>32.36</v>
      </c>
      <c r="H432" s="2" t="str">
        <f aca="false">IF('Raw Data'!S432="","Medium",'Raw Data'!S432)</f>
        <v>High</v>
      </c>
      <c r="I432" s="2" t="str">
        <f aca="false">IF(E432&lt;100,"Small",IF(E432&lt;500,"Medium",IF(E432&lt;1500,"Large","Very Large")))</f>
        <v>Medium</v>
      </c>
    </row>
    <row r="433" customFormat="false" ht="15" hidden="false" customHeight="false" outlineLevel="0" collapsed="false">
      <c r="A433" s="2" t="str">
        <f aca="false">'Raw Data'!A433</f>
        <v>ORD-5956</v>
      </c>
      <c r="B433" s="3" t="n">
        <f aca="false">IFERROR(DATEVALUE('Raw Data'!B433),"Check Format")</f>
        <v>45156</v>
      </c>
      <c r="C433" s="2" t="str">
        <f aca="false">IF('Raw Data'!E433="",IFERROR(INDEX('Raw Data'!$E$2:$E$501,MATCH('Raw Data'!D433,'Raw Data'!$D$2:$D$501,0)),"Unknown Customer"),'Raw Data'!E433)</f>
        <v>David Walker</v>
      </c>
      <c r="D433" s="2" t="str">
        <f aca="false">PROPER(TRIM('Raw Data'!G433))</f>
        <v>Louisville</v>
      </c>
      <c r="E433" s="2" t="n">
        <f aca="false">ROUND(VALUE(SUBSTITUTE(TRIM('Raw Data'!M433),"$","")),2)</f>
        <v>801.9</v>
      </c>
      <c r="F433" s="2" t="n">
        <f aca="false">IF('Raw Data'!O433="",0,'Raw Data'!O433)</f>
        <v>0.1</v>
      </c>
      <c r="G433" s="2" t="n">
        <f aca="false">ROUND('Raw Data'!P433,2)</f>
        <v>79.95</v>
      </c>
      <c r="H433" s="2" t="str">
        <f aca="false">IF('Raw Data'!S433="","Medium",'Raw Data'!S433)</f>
        <v>Medium</v>
      </c>
      <c r="I433" s="2" t="str">
        <f aca="false">IF(E433&lt;100,"Small",IF(E433&lt;500,"Medium",IF(E433&lt;1500,"Large","Very Large")))</f>
        <v>Large</v>
      </c>
    </row>
    <row r="434" customFormat="false" ht="15" hidden="false" customHeight="false" outlineLevel="0" collapsed="false">
      <c r="A434" s="2" t="str">
        <f aca="false">'Raw Data'!A434</f>
        <v>ORD-17212</v>
      </c>
      <c r="B434" s="3" t="n">
        <f aca="false">IFERROR(DATEVALUE('Raw Data'!B434),"Check Format")</f>
        <v>45527</v>
      </c>
      <c r="C434" s="2" t="str">
        <f aca="false">IF('Raw Data'!E434="",IFERROR(INDEX('Raw Data'!$E$2:$E$501,MATCH('Raw Data'!D434,'Raw Data'!$D$2:$D$501,0)),"Unknown Customer"),'Raw Data'!E434)</f>
        <v>Rodney Morales</v>
      </c>
      <c r="D434" s="2" t="str">
        <f aca="false">PROPER(TRIM('Raw Data'!G434))</f>
        <v>Tampa</v>
      </c>
      <c r="E434" s="2" t="n">
        <f aca="false">ROUND(VALUE(SUBSTITUTE(TRIM('Raw Data'!M434),"$","")),2)</f>
        <v>1032.05</v>
      </c>
      <c r="F434" s="2" t="n">
        <f aca="false">IF('Raw Data'!O434="",0,'Raw Data'!O434)</f>
        <v>0.2</v>
      </c>
      <c r="G434" s="2" t="n">
        <f aca="false">ROUND('Raw Data'!P434,2)</f>
        <v>173.85</v>
      </c>
      <c r="H434" s="2" t="str">
        <f aca="false">IF('Raw Data'!S434="","Medium",'Raw Data'!S434)</f>
        <v>High</v>
      </c>
      <c r="I434" s="2" t="str">
        <f aca="false">IF(E434&lt;100,"Small",IF(E434&lt;500,"Medium",IF(E434&lt;1500,"Large","Very Large")))</f>
        <v>Large</v>
      </c>
    </row>
    <row r="435" customFormat="false" ht="15" hidden="false" customHeight="false" outlineLevel="0" collapsed="false">
      <c r="A435" s="2" t="str">
        <f aca="false">'Raw Data'!A435</f>
        <v>ORD-10171</v>
      </c>
      <c r="B435" s="2" t="str">
        <f aca="false">IFERROR(DATEVALUE('Raw Data'!B435),"Check Format")</f>
        <v>Check Format</v>
      </c>
      <c r="C435" s="2" t="str">
        <f aca="false">IF('Raw Data'!E435="",IFERROR(INDEX('Raw Data'!$E$2:$E$501,MATCH('Raw Data'!D435,'Raw Data'!$D$2:$D$501,0)),"Unknown Customer"),'Raw Data'!E435)</f>
        <v>Lori Simmons</v>
      </c>
      <c r="D435" s="2" t="str">
        <f aca="false">PROPER(TRIM('Raw Data'!G435))</f>
        <v>Louisville</v>
      </c>
      <c r="E435" s="2" t="n">
        <f aca="false">ROUND(VALUE(SUBSTITUTE(TRIM('Raw Data'!M435),"$","")),2)</f>
        <v>749.2</v>
      </c>
      <c r="F435" s="2" t="n">
        <f aca="false">IF('Raw Data'!O435="",0,'Raw Data'!O435)</f>
        <v>0.5</v>
      </c>
      <c r="G435" s="2" t="n">
        <f aca="false">ROUND('Raw Data'!P435,2)</f>
        <v>-221.01</v>
      </c>
      <c r="H435" s="2" t="str">
        <f aca="false">IF('Raw Data'!S435="","Medium",'Raw Data'!S435)</f>
        <v>Medium</v>
      </c>
      <c r="I435" s="2" t="str">
        <f aca="false">IF(E435&lt;100,"Small",IF(E435&lt;500,"Medium",IF(E435&lt;1500,"Large","Very Large")))</f>
        <v>Large</v>
      </c>
    </row>
    <row r="436" customFormat="false" ht="15" hidden="false" customHeight="false" outlineLevel="0" collapsed="false">
      <c r="A436" s="2" t="str">
        <f aca="false">'Raw Data'!A436</f>
        <v>ORD-16100</v>
      </c>
      <c r="B436" s="2" t="str">
        <f aca="false">IFERROR(DATEVALUE('Raw Data'!B436),"Check Format")</f>
        <v>Check Format</v>
      </c>
      <c r="C436" s="2" t="str">
        <f aca="false">IF('Raw Data'!E436="",IFERROR(INDEX('Raw Data'!$E$2:$E$501,MATCH('Raw Data'!D436,'Raw Data'!$D$2:$D$501,0)),"Unknown Customer"),'Raw Data'!E436)</f>
        <v>Alejandro Martinez</v>
      </c>
      <c r="D436" s="2" t="str">
        <f aca="false">PROPER(TRIM('Raw Data'!G436))</f>
        <v>Minneapolis</v>
      </c>
      <c r="E436" s="2" t="n">
        <f aca="false">ROUND(VALUE(SUBSTITUTE(TRIM('Raw Data'!M436),"$","")),2)</f>
        <v>448.1</v>
      </c>
      <c r="F436" s="2" t="n">
        <f aca="false">IF('Raw Data'!O436="",0,'Raw Data'!O436)</f>
        <v>0.2</v>
      </c>
      <c r="G436" s="2" t="n">
        <f aca="false">ROUND('Raw Data'!P436,2)</f>
        <v>97.55</v>
      </c>
      <c r="H436" s="2" t="str">
        <f aca="false">IF('Raw Data'!S436="","Medium",'Raw Data'!S436)</f>
        <v>Medium</v>
      </c>
      <c r="I436" s="2" t="str">
        <f aca="false">IF(E436&lt;100,"Small",IF(E436&lt;500,"Medium",IF(E436&lt;1500,"Large","Very Large")))</f>
        <v>Medium</v>
      </c>
    </row>
    <row r="437" customFormat="false" ht="15" hidden="false" customHeight="false" outlineLevel="0" collapsed="false">
      <c r="A437" s="2" t="str">
        <f aca="false">'Raw Data'!A437</f>
        <v>ORD-14866</v>
      </c>
      <c r="B437" s="3" t="n">
        <f aca="false">IFERROR(DATEVALUE('Raw Data'!B437),"Check Format")</f>
        <v>45904</v>
      </c>
      <c r="C437" s="2" t="str">
        <f aca="false">IF('Raw Data'!E437="",IFERROR(INDEX('Raw Data'!$E$2:$E$501,MATCH('Raw Data'!D437,'Raw Data'!$D$2:$D$501,0)),"Unknown Customer"),'Raw Data'!E437)</f>
        <v>Nicolas Salas</v>
      </c>
      <c r="D437" s="2" t="str">
        <f aca="false">PROPER(TRIM('Raw Data'!G437))</f>
        <v>Phoenix</v>
      </c>
      <c r="E437" s="2" t="n">
        <f aca="false">ROUND(VALUE(SUBSTITUTE(TRIM('Raw Data'!M437),"$","")),2)</f>
        <v>2825.94</v>
      </c>
      <c r="F437" s="2" t="n">
        <f aca="false">IF('Raw Data'!O437="",0,'Raw Data'!O437)</f>
        <v>0</v>
      </c>
      <c r="G437" s="2" t="n">
        <f aca="false">ROUND('Raw Data'!P437,2)</f>
        <v>1054.43</v>
      </c>
      <c r="H437" s="2" t="str">
        <f aca="false">IF('Raw Data'!S437="","Medium",'Raw Data'!S437)</f>
        <v>Critical</v>
      </c>
      <c r="I437" s="2" t="str">
        <f aca="false">IF(E437&lt;100,"Small",IF(E437&lt;500,"Medium",IF(E437&lt;1500,"Large","Very Large")))</f>
        <v>Very Large</v>
      </c>
    </row>
    <row r="438" customFormat="false" ht="15" hidden="false" customHeight="false" outlineLevel="0" collapsed="false">
      <c r="A438" s="2" t="str">
        <f aca="false">'Raw Data'!A438</f>
        <v>ORD-11425</v>
      </c>
      <c r="B438" s="2" t="str">
        <f aca="false">IFERROR(DATEVALUE('Raw Data'!B438),"Check Format")</f>
        <v>Check Format</v>
      </c>
      <c r="C438" s="2" t="str">
        <f aca="false">IF('Raw Data'!E438="",IFERROR(INDEX('Raw Data'!$E$2:$E$501,MATCH('Raw Data'!D438,'Raw Data'!$D$2:$D$501,0)),"Unknown Customer"),'Raw Data'!E438)</f>
        <v>Sean Moore</v>
      </c>
      <c r="D438" s="2" t="str">
        <f aca="false">PROPER(TRIM('Raw Data'!G438))</f>
        <v>Duluth</v>
      </c>
      <c r="E438" s="2" t="n">
        <f aca="false">ROUND(VALUE(SUBSTITUTE(TRIM('Raw Data'!M438),"$","")),2)</f>
        <v>3651.9</v>
      </c>
      <c r="F438" s="2" t="n">
        <f aca="false">IF('Raw Data'!O438="",0,'Raw Data'!O438)</f>
        <v>0.2</v>
      </c>
      <c r="G438" s="2" t="n">
        <f aca="false">ROUND('Raw Data'!P438,2)</f>
        <v>900.32</v>
      </c>
      <c r="H438" s="2" t="str">
        <f aca="false">IF('Raw Data'!S438="","Medium",'Raw Data'!S438)</f>
        <v>Medium</v>
      </c>
      <c r="I438" s="2" t="str">
        <f aca="false">IF(E438&lt;100,"Small",IF(E438&lt;500,"Medium",IF(E438&lt;1500,"Large","Very Large")))</f>
        <v>Very Large</v>
      </c>
    </row>
    <row r="439" customFormat="false" ht="15" hidden="false" customHeight="false" outlineLevel="0" collapsed="false">
      <c r="A439" s="2" t="str">
        <f aca="false">'Raw Data'!A439</f>
        <v>ORD-9897</v>
      </c>
      <c r="B439" s="3" t="n">
        <f aca="false">IFERROR(DATEVALUE('Raw Data'!B439),"Check Format")</f>
        <v>45158</v>
      </c>
      <c r="C439" s="2" t="str">
        <f aca="false">IF('Raw Data'!E439="",IFERROR(INDEX('Raw Data'!$E$2:$E$501,MATCH('Raw Data'!D439,'Raw Data'!$D$2:$D$501,0)),"Unknown Customer"),'Raw Data'!E439)</f>
        <v>Anna Wheeler</v>
      </c>
      <c r="D439" s="2" t="str">
        <f aca="false">PROPER(TRIM('Raw Data'!G439))</f>
        <v>Denver</v>
      </c>
      <c r="E439" s="2" t="n">
        <f aca="false">ROUND(VALUE(SUBSTITUTE(TRIM('Raw Data'!M439),"$","")),2)</f>
        <v>317.9</v>
      </c>
      <c r="F439" s="2" t="n">
        <f aca="false">IF('Raw Data'!O439="",0,'Raw Data'!O439)</f>
        <v>0</v>
      </c>
      <c r="G439" s="2" t="n">
        <f aca="false">ROUND('Raw Data'!P439,2)</f>
        <v>91.35</v>
      </c>
      <c r="H439" s="2" t="str">
        <f aca="false">IF('Raw Data'!S439="","Medium",'Raw Data'!S439)</f>
        <v>Medium</v>
      </c>
      <c r="I439" s="2" t="str">
        <f aca="false">IF(E439&lt;100,"Small",IF(E439&lt;500,"Medium",IF(E439&lt;1500,"Large","Very Large")))</f>
        <v>Medium</v>
      </c>
    </row>
    <row r="440" customFormat="false" ht="15" hidden="false" customHeight="false" outlineLevel="0" collapsed="false">
      <c r="A440" s="2" t="str">
        <f aca="false">'Raw Data'!A440</f>
        <v>ORD-9745</v>
      </c>
      <c r="B440" s="3" t="n">
        <f aca="false">IFERROR(DATEVALUE('Raw Data'!B440),"Check Format")</f>
        <v>45546</v>
      </c>
      <c r="C440" s="2" t="str">
        <f aca="false">IF('Raw Data'!E440="",IFERROR(INDEX('Raw Data'!$E$2:$E$501,MATCH('Raw Data'!D440,'Raw Data'!$D$2:$D$501,0)),"Unknown Customer"),'Raw Data'!E440)</f>
        <v>Larry Robertson</v>
      </c>
      <c r="D440" s="2" t="str">
        <f aca="false">PROPER(TRIM('Raw Data'!G440))</f>
        <v>St. Louis</v>
      </c>
      <c r="E440" s="2" t="n">
        <f aca="false">ROUND(VALUE(SUBSTITUTE(TRIM('Raw Data'!M440),"$","")),2)</f>
        <v>4217.12</v>
      </c>
      <c r="F440" s="2" t="n">
        <f aca="false">IF('Raw Data'!O440="",0,'Raw Data'!O440)</f>
        <v>0.5</v>
      </c>
      <c r="G440" s="2" t="n">
        <f aca="false">ROUND('Raw Data'!P440,2)</f>
        <v>-913.46</v>
      </c>
      <c r="H440" s="2" t="str">
        <f aca="false">IF('Raw Data'!S440="","Medium",'Raw Data'!S440)</f>
        <v>Low</v>
      </c>
      <c r="I440" s="2" t="str">
        <f aca="false">IF(E440&lt;100,"Small",IF(E440&lt;500,"Medium",IF(E440&lt;1500,"Large","Very Large")))</f>
        <v>Very Large</v>
      </c>
    </row>
    <row r="441" customFormat="false" ht="15" hidden="false" customHeight="false" outlineLevel="0" collapsed="false">
      <c r="A441" s="2" t="str">
        <f aca="false">'Raw Data'!A441</f>
        <v>ORD-14936</v>
      </c>
      <c r="B441" s="3" t="n">
        <f aca="false">IFERROR(DATEVALUE('Raw Data'!B441),"Check Format")</f>
        <v>45765</v>
      </c>
      <c r="C441" s="2" t="str">
        <f aca="false">IF('Raw Data'!E441="",IFERROR(INDEX('Raw Data'!$E$2:$E$501,MATCH('Raw Data'!D441,'Raw Data'!$D$2:$D$501,0)),"Unknown Customer"),'Raw Data'!E441)</f>
        <v>Tina Sanders</v>
      </c>
      <c r="D441" s="2" t="str">
        <f aca="false">PROPER(TRIM('Raw Data'!G441))</f>
        <v>St. Louis</v>
      </c>
      <c r="E441" s="2" t="n">
        <f aca="false">ROUND(VALUE(SUBSTITUTE(TRIM('Raw Data'!M441),"$","")),2)</f>
        <v>344.56</v>
      </c>
      <c r="F441" s="2" t="n">
        <f aca="false">IF('Raw Data'!O441="",0,'Raw Data'!O441)</f>
        <v>0.1</v>
      </c>
      <c r="G441" s="2" t="n">
        <f aca="false">ROUND('Raw Data'!P441,2)</f>
        <v>116.12</v>
      </c>
      <c r="H441" s="2" t="str">
        <f aca="false">IF('Raw Data'!S441="","Medium",'Raw Data'!S441)</f>
        <v>Critical</v>
      </c>
      <c r="I441" s="2" t="str">
        <f aca="false">IF(E441&lt;100,"Small",IF(E441&lt;500,"Medium",IF(E441&lt;1500,"Large","Very Large")))</f>
        <v>Medium</v>
      </c>
    </row>
    <row r="442" customFormat="false" ht="15" hidden="false" customHeight="false" outlineLevel="0" collapsed="false">
      <c r="A442" s="2" t="str">
        <f aca="false">'Raw Data'!A442</f>
        <v>ORD-4435</v>
      </c>
      <c r="B442" s="3" t="n">
        <f aca="false">IFERROR(DATEVALUE('Raw Data'!B442),"Check Format")</f>
        <v>45923</v>
      </c>
      <c r="C442" s="2" t="str">
        <f aca="false">IF('Raw Data'!E442="",IFERROR(INDEX('Raw Data'!$E$2:$E$501,MATCH('Raw Data'!D442,'Raw Data'!$D$2:$D$501,0)),"Unknown Customer"),'Raw Data'!E442)</f>
        <v>Marie Christian</v>
      </c>
      <c r="D442" s="2" t="str">
        <f aca="false">PROPER(TRIM('Raw Data'!G442))</f>
        <v>Tucson</v>
      </c>
      <c r="E442" s="2" t="n">
        <f aca="false">ROUND(VALUE(SUBSTITUTE(TRIM('Raw Data'!M442),"$","")),2)</f>
        <v>399.76</v>
      </c>
      <c r="F442" s="2" t="n">
        <f aca="false">IF('Raw Data'!O442="",0,'Raw Data'!O442)</f>
        <v>0.2</v>
      </c>
      <c r="G442" s="2" t="n">
        <f aca="false">ROUND('Raw Data'!P442,2)</f>
        <v>76.36</v>
      </c>
      <c r="H442" s="2" t="str">
        <f aca="false">IF('Raw Data'!S442="","Medium",'Raw Data'!S442)</f>
        <v>Critical</v>
      </c>
      <c r="I442" s="2" t="str">
        <f aca="false">IF(E442&lt;100,"Small",IF(E442&lt;500,"Medium",IF(E442&lt;1500,"Large","Very Large")))</f>
        <v>Medium</v>
      </c>
    </row>
    <row r="443" customFormat="false" ht="15" hidden="false" customHeight="false" outlineLevel="0" collapsed="false">
      <c r="A443" s="2" t="str">
        <f aca="false">'Raw Data'!A443</f>
        <v>ORD-5335</v>
      </c>
      <c r="B443" s="2" t="str">
        <f aca="false">IFERROR(DATEVALUE('Raw Data'!B443),"Check Format")</f>
        <v>Check Format</v>
      </c>
      <c r="C443" s="2" t="str">
        <f aca="false">IF('Raw Data'!E443="",IFERROR(INDEX('Raw Data'!$E$2:$E$501,MATCH('Raw Data'!D443,'Raw Data'!$D$2:$D$501,0)),"Unknown Customer"),'Raw Data'!E443)</f>
        <v>Erin Edwards</v>
      </c>
      <c r="D443" s="2" t="str">
        <f aca="false">PROPER(TRIM('Raw Data'!G443))</f>
        <v>Nashville</v>
      </c>
      <c r="E443" s="2" t="n">
        <f aca="false">ROUND(VALUE(SUBSTITUTE(TRIM('Raw Data'!M443),"$","")),2)</f>
        <v>231.15</v>
      </c>
      <c r="F443" s="2" t="n">
        <f aca="false">IF('Raw Data'!O443="",0,'Raw Data'!O443)</f>
        <v>0</v>
      </c>
      <c r="G443" s="2" t="n">
        <f aca="false">ROUND('Raw Data'!P443,2)</f>
        <v>97.93</v>
      </c>
      <c r="H443" s="2" t="str">
        <f aca="false">IF('Raw Data'!S443="","Medium",'Raw Data'!S443)</f>
        <v>Low</v>
      </c>
      <c r="I443" s="2" t="str">
        <f aca="false">IF(E443&lt;100,"Small",IF(E443&lt;500,"Medium",IF(E443&lt;1500,"Large","Very Large")))</f>
        <v>Medium</v>
      </c>
    </row>
    <row r="444" customFormat="false" ht="15" hidden="false" customHeight="false" outlineLevel="0" collapsed="false">
      <c r="A444" s="2" t="str">
        <f aca="false">'Raw Data'!A444</f>
        <v>ORD-10230</v>
      </c>
      <c r="B444" s="3" t="n">
        <f aca="false">IFERROR(DATEVALUE('Raw Data'!B444),"Check Format")</f>
        <v>45281</v>
      </c>
      <c r="C444" s="2" t="str">
        <f aca="false">IF('Raw Data'!E444="",IFERROR(INDEX('Raw Data'!$E$2:$E$501,MATCH('Raw Data'!D444,'Raw Data'!$D$2:$D$501,0)),"Unknown Customer"),'Raw Data'!E444)</f>
        <v>Angelica Tucker</v>
      </c>
      <c r="D444" s="2" t="str">
        <f aca="false">PROPER(TRIM('Raw Data'!G444))</f>
        <v>Montgomery</v>
      </c>
      <c r="E444" s="2" t="n">
        <f aca="false">ROUND(VALUE(SUBSTITUTE(TRIM('Raw Data'!M444),"$","")),2)</f>
        <v>816.08</v>
      </c>
      <c r="F444" s="2" t="n">
        <f aca="false">IF('Raw Data'!O444="",0,'Raw Data'!O444)</f>
        <v>0.1</v>
      </c>
      <c r="G444" s="2" t="n">
        <f aca="false">ROUND('Raw Data'!P444,2)</f>
        <v>269.58</v>
      </c>
      <c r="H444" s="2" t="str">
        <f aca="false">IF('Raw Data'!S444="","Medium",'Raw Data'!S444)</f>
        <v>Medium</v>
      </c>
      <c r="I444" s="2" t="str">
        <f aca="false">IF(E444&lt;100,"Small",IF(E444&lt;500,"Medium",IF(E444&lt;1500,"Large","Very Large")))</f>
        <v>Large</v>
      </c>
    </row>
    <row r="445" customFormat="false" ht="15" hidden="false" customHeight="false" outlineLevel="0" collapsed="false">
      <c r="A445" s="2" t="str">
        <f aca="false">'Raw Data'!A445</f>
        <v>ORD-15864</v>
      </c>
      <c r="B445" s="3" t="n">
        <f aca="false">IFERROR(DATEVALUE('Raw Data'!B445),"Check Format")</f>
        <v>45732</v>
      </c>
      <c r="C445" s="2" t="str">
        <f aca="false">IF('Raw Data'!E445="",IFERROR(INDEX('Raw Data'!$E$2:$E$501,MATCH('Raw Data'!D445,'Raw Data'!$D$2:$D$501,0)),"Unknown Customer"),'Raw Data'!E445)</f>
        <v>Pamela Hill</v>
      </c>
      <c r="D445" s="2" t="str">
        <f aca="false">PROPER(TRIM('Raw Data'!G445))</f>
        <v>St. Louis</v>
      </c>
      <c r="E445" s="2" t="n">
        <f aca="false">ROUND(VALUE(SUBSTITUTE(TRIM('Raw Data'!M445),"$","")),2)</f>
        <v>99.68</v>
      </c>
      <c r="F445" s="2" t="n">
        <f aca="false">IF('Raw Data'!O445="",0,'Raw Data'!O445)</f>
        <v>0</v>
      </c>
      <c r="G445" s="2" t="n">
        <f aca="false">ROUND('Raw Data'!P445,2)</f>
        <v>43.33</v>
      </c>
      <c r="H445" s="2" t="str">
        <f aca="false">IF('Raw Data'!S445="","Medium",'Raw Data'!S445)</f>
        <v>Medium</v>
      </c>
      <c r="I445" s="2" t="str">
        <f aca="false">IF(E445&lt;100,"Small",IF(E445&lt;500,"Medium",IF(E445&lt;1500,"Large","Very Large")))</f>
        <v>Small</v>
      </c>
    </row>
    <row r="446" customFormat="false" ht="15" hidden="false" customHeight="false" outlineLevel="0" collapsed="false">
      <c r="A446" s="2" t="str">
        <f aca="false">'Raw Data'!A446</f>
        <v>ORD-11117</v>
      </c>
      <c r="B446" s="3" t="n">
        <f aca="false">IFERROR(DATEVALUE('Raw Data'!B446),"Check Format")</f>
        <v>45249</v>
      </c>
      <c r="C446" s="2" t="str">
        <f aca="false">IF('Raw Data'!E446="",IFERROR(INDEX('Raw Data'!$E$2:$E$501,MATCH('Raw Data'!D446,'Raw Data'!$D$2:$D$501,0)),"Unknown Customer"),'Raw Data'!E446)</f>
        <v>Stephen Cowan</v>
      </c>
      <c r="D446" s="2" t="str">
        <f aca="false">PROPER(TRIM('Raw Data'!G446))</f>
        <v>Springfield</v>
      </c>
      <c r="E446" s="2" t="n">
        <f aca="false">ROUND(VALUE(SUBSTITUTE(TRIM('Raw Data'!M446),"$","")),2)</f>
        <v>706.18</v>
      </c>
      <c r="F446" s="2" t="n">
        <f aca="false">IF('Raw Data'!O446="",0,'Raw Data'!O446)</f>
        <v>0</v>
      </c>
      <c r="G446" s="2" t="n">
        <f aca="false">ROUND('Raw Data'!P446,2)</f>
        <v>294.84</v>
      </c>
      <c r="H446" s="2" t="str">
        <f aca="false">IF('Raw Data'!S446="","Medium",'Raw Data'!S446)</f>
        <v>Low</v>
      </c>
      <c r="I446" s="2" t="str">
        <f aca="false">IF(E446&lt;100,"Small",IF(E446&lt;500,"Medium",IF(E446&lt;1500,"Large","Very Large")))</f>
        <v>Large</v>
      </c>
    </row>
    <row r="447" customFormat="false" ht="15" hidden="false" customHeight="false" outlineLevel="0" collapsed="false">
      <c r="A447" s="2" t="str">
        <f aca="false">'Raw Data'!A447</f>
        <v>ORD-6355</v>
      </c>
      <c r="B447" s="3" t="n">
        <f aca="false">IFERROR(DATEVALUE('Raw Data'!B447),"Check Format")</f>
        <v>45199</v>
      </c>
      <c r="C447" s="2" t="str">
        <f aca="false">IF('Raw Data'!E447="",IFERROR(INDEX('Raw Data'!$E$2:$E$501,MATCH('Raw Data'!D447,'Raw Data'!$D$2:$D$501,0)),"Unknown Customer"),'Raw Data'!E447)</f>
        <v>Michelle Harmon</v>
      </c>
      <c r="D447" s="2" t="str">
        <f aca="false">PROPER(TRIM('Raw Data'!G447))</f>
        <v>Baton Rouge</v>
      </c>
      <c r="E447" s="2" t="n">
        <f aca="false">ROUND(VALUE(SUBSTITUTE(TRIM('Raw Data'!M447),"$","")),2)</f>
        <v>2433.81</v>
      </c>
      <c r="F447" s="2" t="n">
        <f aca="false">IF('Raw Data'!O447="",0,'Raw Data'!O447)</f>
        <v>0.4</v>
      </c>
      <c r="G447" s="2" t="n">
        <f aca="false">ROUND('Raw Data'!P447,2)</f>
        <v>-480.9</v>
      </c>
      <c r="H447" s="2" t="str">
        <f aca="false">IF('Raw Data'!S447="","Medium",'Raw Data'!S447)</f>
        <v>High</v>
      </c>
      <c r="I447" s="2" t="str">
        <f aca="false">IF(E447&lt;100,"Small",IF(E447&lt;500,"Medium",IF(E447&lt;1500,"Large","Very Large")))</f>
        <v>Very Large</v>
      </c>
    </row>
    <row r="448" customFormat="false" ht="15" hidden="false" customHeight="false" outlineLevel="0" collapsed="false">
      <c r="A448" s="2" t="str">
        <f aca="false">'Raw Data'!A448</f>
        <v>ORD-11561</v>
      </c>
      <c r="B448" s="2" t="str">
        <f aca="false">IFERROR(DATEVALUE('Raw Data'!B448),"Check Format")</f>
        <v>Check Format</v>
      </c>
      <c r="C448" s="2" t="str">
        <f aca="false">IF('Raw Data'!E448="",IFERROR(INDEX('Raw Data'!$E$2:$E$501,MATCH('Raw Data'!D448,'Raw Data'!$D$2:$D$501,0)),"Unknown Customer"),'Raw Data'!E448)</f>
        <v>Pamela Boyd</v>
      </c>
      <c r="D448" s="2" t="str">
        <f aca="false">PROPER(TRIM('Raw Data'!G448))</f>
        <v>Buffalo</v>
      </c>
      <c r="E448" s="2" t="n">
        <f aca="false">ROUND(VALUE(SUBSTITUTE(TRIM('Raw Data'!M448),"$","")),2)</f>
        <v>2438.73</v>
      </c>
      <c r="F448" s="2" t="n">
        <f aca="false">IF('Raw Data'!O448="",0,'Raw Data'!O448)</f>
        <v>0.1</v>
      </c>
      <c r="G448" s="2" t="n">
        <f aca="false">ROUND('Raw Data'!P448,2)</f>
        <v>689.72</v>
      </c>
      <c r="H448" s="2" t="str">
        <f aca="false">IF('Raw Data'!S448="","Medium",'Raw Data'!S448)</f>
        <v>Medium</v>
      </c>
      <c r="I448" s="2" t="str">
        <f aca="false">IF(E448&lt;100,"Small",IF(E448&lt;500,"Medium",IF(E448&lt;1500,"Large","Very Large")))</f>
        <v>Very Large</v>
      </c>
    </row>
    <row r="449" customFormat="false" ht="15" hidden="false" customHeight="false" outlineLevel="0" collapsed="false">
      <c r="A449" s="2" t="str">
        <f aca="false">'Raw Data'!A449</f>
        <v>ORD-11550</v>
      </c>
      <c r="B449" s="3" t="n">
        <f aca="false">IFERROR(DATEVALUE('Raw Data'!B449),"Check Format")</f>
        <v>45302</v>
      </c>
      <c r="C449" s="2" t="str">
        <f aca="false">IF('Raw Data'!E449="",IFERROR(INDEX('Raw Data'!$E$2:$E$501,MATCH('Raw Data'!D449,'Raw Data'!$D$2:$D$501,0)),"Unknown Customer"),'Raw Data'!E449)</f>
        <v>Katherine Welch</v>
      </c>
      <c r="D449" s="2" t="str">
        <f aca="false">PROPER(TRIM('Raw Data'!G449))</f>
        <v>Boulder</v>
      </c>
      <c r="E449" s="2" t="n">
        <f aca="false">ROUND(VALUE(SUBSTITUTE(TRIM('Raw Data'!M449),"$","")),2)</f>
        <v>117.48</v>
      </c>
      <c r="F449" s="2" t="n">
        <f aca="false">IF('Raw Data'!O449="",0,'Raw Data'!O449)</f>
        <v>0</v>
      </c>
      <c r="G449" s="2" t="n">
        <f aca="false">ROUND('Raw Data'!P449,2)</f>
        <v>34.94</v>
      </c>
      <c r="H449" s="2" t="str">
        <f aca="false">IF('Raw Data'!S449="","Medium",'Raw Data'!S449)</f>
        <v>Low</v>
      </c>
      <c r="I449" s="2" t="str">
        <f aca="false">IF(E449&lt;100,"Small",IF(E449&lt;500,"Medium",IF(E449&lt;1500,"Large","Very Large")))</f>
        <v>Medium</v>
      </c>
    </row>
    <row r="450" customFormat="false" ht="15" hidden="false" customHeight="false" outlineLevel="0" collapsed="false">
      <c r="A450" s="2" t="str">
        <f aca="false">'Raw Data'!A450</f>
        <v>ORD-15147</v>
      </c>
      <c r="B450" s="3" t="n">
        <f aca="false">IFERROR(DATEVALUE('Raw Data'!B450),"Check Format")</f>
        <v>46272</v>
      </c>
      <c r="C450" s="2" t="str">
        <f aca="false">IF('Raw Data'!E450="",IFERROR(INDEX('Raw Data'!$E$2:$E$501,MATCH('Raw Data'!D450,'Raw Data'!$D$2:$D$501,0)),"Unknown Customer"),'Raw Data'!E450)</f>
        <v>Victor Edwards</v>
      </c>
      <c r="D450" s="2" t="str">
        <f aca="false">PROPER(TRIM('Raw Data'!G450))</f>
        <v>Memphis</v>
      </c>
      <c r="E450" s="2" t="n">
        <f aca="false">ROUND(VALUE(SUBSTITUTE(TRIM('Raw Data'!M450),"$","")),2)</f>
        <v>1880.34</v>
      </c>
      <c r="F450" s="2" t="n">
        <f aca="false">IF('Raw Data'!O450="",0,'Raw Data'!O450)</f>
        <v>0</v>
      </c>
      <c r="G450" s="2" t="n">
        <f aca="false">ROUND('Raw Data'!P450,2)</f>
        <v>646.88</v>
      </c>
      <c r="H450" s="2" t="str">
        <f aca="false">IF('Raw Data'!S450="","Medium",'Raw Data'!S450)</f>
        <v>High</v>
      </c>
      <c r="I450" s="2" t="str">
        <f aca="false">IF(E450&lt;100,"Small",IF(E450&lt;500,"Medium",IF(E450&lt;1500,"Large","Very Large")))</f>
        <v>Very Large</v>
      </c>
    </row>
    <row r="451" customFormat="false" ht="15" hidden="false" customHeight="false" outlineLevel="0" collapsed="false">
      <c r="A451" s="2" t="str">
        <f aca="false">'Raw Data'!A451</f>
        <v>ORD-17642</v>
      </c>
      <c r="B451" s="3" t="n">
        <f aca="false">IFERROR(DATEVALUE('Raw Data'!B451),"Check Format")</f>
        <v>46067</v>
      </c>
      <c r="C451" s="2" t="str">
        <f aca="false">IF('Raw Data'!E451="",IFERROR(INDEX('Raw Data'!$E$2:$E$501,MATCH('Raw Data'!D451,'Raw Data'!$D$2:$D$501,0)),"Unknown Customer"),'Raw Data'!E451)</f>
        <v>Michael Martin</v>
      </c>
      <c r="D451" s="2" t="str">
        <f aca="false">PROPER(TRIM('Raw Data'!G451))</f>
        <v>Sacramento</v>
      </c>
      <c r="E451" s="2" t="n">
        <f aca="false">ROUND(VALUE(SUBSTITUTE(TRIM('Raw Data'!M451),"$","")),2)</f>
        <v>1816.4</v>
      </c>
      <c r="F451" s="2" t="n">
        <f aca="false">IF('Raw Data'!O451="",0,'Raw Data'!O451)</f>
        <v>0.5</v>
      </c>
      <c r="G451" s="2" t="n">
        <f aca="false">ROUND('Raw Data'!P451,2)</f>
        <v>-178.61</v>
      </c>
      <c r="H451" s="2" t="str">
        <f aca="false">IF('Raw Data'!S451="","Medium",'Raw Data'!S451)</f>
        <v>Medium</v>
      </c>
      <c r="I451" s="2" t="str">
        <f aca="false">IF(E451&lt;100,"Small",IF(E451&lt;500,"Medium",IF(E451&lt;1500,"Large","Very Large")))</f>
        <v>Very Large</v>
      </c>
    </row>
    <row r="452" customFormat="false" ht="15" hidden="false" customHeight="false" outlineLevel="0" collapsed="false">
      <c r="A452" s="2" t="str">
        <f aca="false">'Raw Data'!A452</f>
        <v>ORD-14432</v>
      </c>
      <c r="B452" s="3" t="n">
        <f aca="false">IFERROR(DATEVALUE('Raw Data'!B452),"Check Format")</f>
        <v>45677</v>
      </c>
      <c r="C452" s="2" t="str">
        <f aca="false">IF('Raw Data'!E452="",IFERROR(INDEX('Raw Data'!$E$2:$E$501,MATCH('Raw Data'!D452,'Raw Data'!$D$2:$D$501,0)),"Unknown Customer"),'Raw Data'!E452)</f>
        <v>Jason Love</v>
      </c>
      <c r="D452" s="2" t="str">
        <f aca="false">PROPER(TRIM('Raw Data'!G452))</f>
        <v>Norfolk</v>
      </c>
      <c r="E452" s="2" t="n">
        <f aca="false">ROUND(VALUE(SUBSTITUTE(TRIM('Raw Data'!M452),"$","")),2)</f>
        <v>4500.79</v>
      </c>
      <c r="F452" s="2" t="n">
        <f aca="false">IF('Raw Data'!O452="",0,'Raw Data'!O452)</f>
        <v>0</v>
      </c>
      <c r="G452" s="2" t="n">
        <f aca="false">ROUND('Raw Data'!P452,2)</f>
        <v>1793.87</v>
      </c>
      <c r="H452" s="2" t="str">
        <f aca="false">IF('Raw Data'!S452="","Medium",'Raw Data'!S452)</f>
        <v>Medium</v>
      </c>
      <c r="I452" s="2" t="str">
        <f aca="false">IF(E452&lt;100,"Small",IF(E452&lt;500,"Medium",IF(E452&lt;1500,"Large","Very Large")))</f>
        <v>Very Large</v>
      </c>
    </row>
    <row r="453" customFormat="false" ht="15" hidden="false" customHeight="false" outlineLevel="0" collapsed="false">
      <c r="A453" s="2" t="str">
        <f aca="false">'Raw Data'!A453</f>
        <v>ORD-12022</v>
      </c>
      <c r="B453" s="2" t="str">
        <f aca="false">IFERROR(DATEVALUE('Raw Data'!B453),"Check Format")</f>
        <v>Check Format</v>
      </c>
      <c r="C453" s="2" t="str">
        <f aca="false">IF('Raw Data'!E453="",IFERROR(INDEX('Raw Data'!$E$2:$E$501,MATCH('Raw Data'!D453,'Raw Data'!$D$2:$D$501,0)),"Unknown Customer"),'Raw Data'!E453)</f>
        <v>Denise Jacobs</v>
      </c>
      <c r="D453" s="2" t="str">
        <f aca="false">PROPER(TRIM('Raw Data'!G453))</f>
        <v/>
      </c>
      <c r="E453" s="2" t="n">
        <f aca="false">ROUND(VALUE(SUBSTITUTE(TRIM('Raw Data'!M453),"$","")),2)</f>
        <v>1656.3</v>
      </c>
      <c r="F453" s="2" t="n">
        <f aca="false">IF('Raw Data'!O453="",0,'Raw Data'!O453)</f>
        <v>0.2</v>
      </c>
      <c r="G453" s="2" t="n">
        <f aca="false">ROUND('Raw Data'!P453,2)</f>
        <v>-47.67</v>
      </c>
      <c r="H453" s="2" t="str">
        <f aca="false">IF('Raw Data'!S453="","Medium",'Raw Data'!S453)</f>
        <v>High</v>
      </c>
      <c r="I453" s="2" t="str">
        <f aca="false">IF(E453&lt;100,"Small",IF(E453&lt;500,"Medium",IF(E453&lt;1500,"Large","Very Large")))</f>
        <v>Very Large</v>
      </c>
    </row>
    <row r="454" customFormat="false" ht="15" hidden="false" customHeight="false" outlineLevel="0" collapsed="false">
      <c r="A454" s="2" t="str">
        <f aca="false">'Raw Data'!A454</f>
        <v>ORD-4357</v>
      </c>
      <c r="B454" s="2" t="str">
        <f aca="false">IFERROR(DATEVALUE('Raw Data'!B454),"Check Format")</f>
        <v>Check Format</v>
      </c>
      <c r="C454" s="2" t="str">
        <f aca="false">IF('Raw Data'!E454="",IFERROR(INDEX('Raw Data'!$E$2:$E$501,MATCH('Raw Data'!D454,'Raw Data'!$D$2:$D$501,0)),"Unknown Customer"),'Raw Data'!E454)</f>
        <v>Jamie Solomon</v>
      </c>
      <c r="D454" s="2" t="str">
        <f aca="false">PROPER(TRIM('Raw Data'!G454))</f>
        <v>Las Vegas</v>
      </c>
      <c r="E454" s="2" t="n">
        <f aca="false">ROUND(VALUE(SUBSTITUTE(TRIM('Raw Data'!M454),"$","")),2)</f>
        <v>148.84</v>
      </c>
      <c r="F454" s="2" t="n">
        <f aca="false">IF('Raw Data'!O454="",0,'Raw Data'!O454)</f>
        <v>0</v>
      </c>
      <c r="G454" s="2" t="n">
        <f aca="false">ROUND('Raw Data'!P454,2)</f>
        <v>51.24</v>
      </c>
      <c r="H454" s="2" t="str">
        <f aca="false">IF('Raw Data'!S454="","Medium",'Raw Data'!S454)</f>
        <v>Medium</v>
      </c>
      <c r="I454" s="2" t="str">
        <f aca="false">IF(E454&lt;100,"Small",IF(E454&lt;500,"Medium",IF(E454&lt;1500,"Large","Very Large")))</f>
        <v>Medium</v>
      </c>
    </row>
    <row r="455" customFormat="false" ht="15" hidden="false" customHeight="false" outlineLevel="0" collapsed="false">
      <c r="A455" s="2" t="str">
        <f aca="false">'Raw Data'!A455</f>
        <v>ORD-8060</v>
      </c>
      <c r="B455" s="3" t="n">
        <f aca="false">IFERROR(DATEVALUE('Raw Data'!B455),"Check Format")</f>
        <v>46009</v>
      </c>
      <c r="C455" s="2" t="str">
        <f aca="false">IF('Raw Data'!E455="",IFERROR(INDEX('Raw Data'!$E$2:$E$501,MATCH('Raw Data'!D455,'Raw Data'!$D$2:$D$501,0)),"Unknown Customer"),'Raw Data'!E455)</f>
        <v>Elizabeth Flores</v>
      </c>
      <c r="D455" s="2" t="str">
        <f aca="false">PROPER(TRIM('Raw Data'!G455))</f>
        <v>Phoenix</v>
      </c>
      <c r="E455" s="2" t="n">
        <f aca="false">ROUND(VALUE(SUBSTITUTE(TRIM('Raw Data'!M455),"$","")),2)</f>
        <v>1773.63</v>
      </c>
      <c r="F455" s="2" t="n">
        <f aca="false">IF('Raw Data'!O455="",0,'Raw Data'!O455)</f>
        <v>0</v>
      </c>
      <c r="G455" s="2" t="n">
        <f aca="false">ROUND('Raw Data'!P455,2)</f>
        <v>498.55</v>
      </c>
      <c r="H455" s="2" t="str">
        <f aca="false">IF('Raw Data'!S455="","Medium",'Raw Data'!S455)</f>
        <v>Medium</v>
      </c>
      <c r="I455" s="2" t="str">
        <f aca="false">IF(E455&lt;100,"Small",IF(E455&lt;500,"Medium",IF(E455&lt;1500,"Large","Very Large")))</f>
        <v>Very Large</v>
      </c>
    </row>
    <row r="456" customFormat="false" ht="15" hidden="false" customHeight="false" outlineLevel="0" collapsed="false">
      <c r="A456" s="2" t="str">
        <f aca="false">'Raw Data'!A456</f>
        <v>ORD-9824</v>
      </c>
      <c r="B456" s="3" t="n">
        <f aca="false">IFERROR(DATEVALUE('Raw Data'!B456),"Check Format")</f>
        <v>46038</v>
      </c>
      <c r="C456" s="2" t="str">
        <f aca="false">IF('Raw Data'!E456="",IFERROR(INDEX('Raw Data'!$E$2:$E$501,MATCH('Raw Data'!D456,'Raw Data'!$D$2:$D$501,0)),"Unknown Customer"),'Raw Data'!E456)</f>
        <v>James Watson</v>
      </c>
      <c r="D456" s="2" t="str">
        <f aca="false">PROPER(TRIM('Raw Data'!G456))</f>
        <v>Birmingham</v>
      </c>
      <c r="E456" s="2" t="n">
        <f aca="false">ROUND(VALUE(SUBSTITUTE(TRIM('Raw Data'!M456),"$","")),2)</f>
        <v>223.68</v>
      </c>
      <c r="F456" s="2" t="n">
        <f aca="false">IF('Raw Data'!O456="",0,'Raw Data'!O456)</f>
        <v>0.1</v>
      </c>
      <c r="G456" s="2" t="n">
        <f aca="false">ROUND('Raw Data'!P456,2)</f>
        <v>31.58</v>
      </c>
      <c r="H456" s="2" t="str">
        <f aca="false">IF('Raw Data'!S456="","Medium",'Raw Data'!S456)</f>
        <v>Medium</v>
      </c>
      <c r="I456" s="2" t="str">
        <f aca="false">IF(E456&lt;100,"Small",IF(E456&lt;500,"Medium",IF(E456&lt;1500,"Large","Very Large")))</f>
        <v>Medium</v>
      </c>
    </row>
    <row r="457" customFormat="false" ht="15" hidden="false" customHeight="false" outlineLevel="0" collapsed="false">
      <c r="A457" s="2" t="str">
        <f aca="false">'Raw Data'!A457</f>
        <v>ORD-8575</v>
      </c>
      <c r="B457" s="3" t="n">
        <f aca="false">IFERROR(DATEVALUE('Raw Data'!B457),"Check Format")</f>
        <v>45588</v>
      </c>
      <c r="C457" s="2" t="str">
        <f aca="false">IF('Raw Data'!E457="",IFERROR(INDEX('Raw Data'!$E$2:$E$501,MATCH('Raw Data'!D457,'Raw Data'!$D$2:$D$501,0)),"Unknown Customer"),'Raw Data'!E457)</f>
        <v>Matthew Moore</v>
      </c>
      <c r="D457" s="2" t="str">
        <f aca="false">PROPER(TRIM('Raw Data'!G457))</f>
        <v>Las Vegas</v>
      </c>
      <c r="E457" s="2" t="n">
        <f aca="false">ROUND(VALUE(SUBSTITUTE(TRIM('Raw Data'!M457),"$","")),2)</f>
        <v>1022.91</v>
      </c>
      <c r="F457" s="2" t="n">
        <f aca="false">IF('Raw Data'!O457="",0,'Raw Data'!O457)</f>
        <v>0.1</v>
      </c>
      <c r="G457" s="2" t="n">
        <f aca="false">ROUND('Raw Data'!P457,2)</f>
        <v>123.34</v>
      </c>
      <c r="H457" s="2" t="str">
        <f aca="false">IF('Raw Data'!S457="","Medium",'Raw Data'!S457)</f>
        <v>Critical</v>
      </c>
      <c r="I457" s="2" t="str">
        <f aca="false">IF(E457&lt;100,"Small",IF(E457&lt;500,"Medium",IF(E457&lt;1500,"Large","Very Large")))</f>
        <v>Large</v>
      </c>
    </row>
    <row r="458" customFormat="false" ht="15" hidden="false" customHeight="false" outlineLevel="0" collapsed="false">
      <c r="A458" s="2" t="str">
        <f aca="false">'Raw Data'!A458</f>
        <v>ORD-5031</v>
      </c>
      <c r="B458" s="2" t="str">
        <f aca="false">IFERROR(DATEVALUE('Raw Data'!B458),"Check Format")</f>
        <v>Check Format</v>
      </c>
      <c r="C458" s="2" t="str">
        <f aca="false">IF('Raw Data'!E458="",IFERROR(INDEX('Raw Data'!$E$2:$E$501,MATCH('Raw Data'!D458,'Raw Data'!$D$2:$D$501,0)),"Unknown Customer"),'Raw Data'!E458)</f>
        <v>Justin Torres</v>
      </c>
      <c r="D458" s="2" t="str">
        <f aca="false">PROPER(TRIM('Raw Data'!G458))</f>
        <v>Cleveland</v>
      </c>
      <c r="E458" s="2" t="n">
        <f aca="false">ROUND(VALUE(SUBSTITUTE(TRIM('Raw Data'!M458),"$","")),2)</f>
        <v>4598.28</v>
      </c>
      <c r="F458" s="2" t="n">
        <f aca="false">IF('Raw Data'!O458="",0,'Raw Data'!O458)</f>
        <v>0.1</v>
      </c>
      <c r="G458" s="2" t="n">
        <f aca="false">ROUND('Raw Data'!P458,2)</f>
        <v>1067.01</v>
      </c>
      <c r="H458" s="2" t="str">
        <f aca="false">IF('Raw Data'!S458="","Medium",'Raw Data'!S458)</f>
        <v>Critical</v>
      </c>
      <c r="I458" s="2" t="str">
        <f aca="false">IF(E458&lt;100,"Small",IF(E458&lt;500,"Medium",IF(E458&lt;1500,"Large","Very Large")))</f>
        <v>Very Large</v>
      </c>
    </row>
    <row r="459" customFormat="false" ht="15" hidden="false" customHeight="false" outlineLevel="0" collapsed="false">
      <c r="A459" s="2" t="str">
        <f aca="false">'Raw Data'!A459</f>
        <v>ORD-14705</v>
      </c>
      <c r="B459" s="2" t="str">
        <f aca="false">IFERROR(DATEVALUE('Raw Data'!B459),"Check Format")</f>
        <v>Check Format</v>
      </c>
      <c r="C459" s="2" t="str">
        <f aca="false">IF('Raw Data'!E459="",IFERROR(INDEX('Raw Data'!$E$2:$E$501,MATCH('Raw Data'!D459,'Raw Data'!$D$2:$D$501,0)),"Unknown Customer"),'Raw Data'!E459)</f>
        <v>Jose Allen</v>
      </c>
      <c r="D459" s="2" t="str">
        <f aca="false">PROPER(TRIM('Raw Data'!G459))</f>
        <v>Kansas City</v>
      </c>
      <c r="E459" s="2" t="n">
        <f aca="false">ROUND(VALUE(SUBSTITUTE(TRIM('Raw Data'!M459),"$","")),2)</f>
        <v>4334.68</v>
      </c>
      <c r="F459" s="2" t="n">
        <f aca="false">IF('Raw Data'!O459="",0,'Raw Data'!O459)</f>
        <v>0.3</v>
      </c>
      <c r="G459" s="2" t="n">
        <f aca="false">ROUND('Raw Data'!P459,2)</f>
        <v>522.03</v>
      </c>
      <c r="H459" s="2" t="str">
        <f aca="false">IF('Raw Data'!S459="","Medium",'Raw Data'!S459)</f>
        <v>Low</v>
      </c>
      <c r="I459" s="2" t="str">
        <f aca="false">IF(E459&lt;100,"Small",IF(E459&lt;500,"Medium",IF(E459&lt;1500,"Large","Very Large")))</f>
        <v>Very Large</v>
      </c>
    </row>
    <row r="460" customFormat="false" ht="15" hidden="false" customHeight="false" outlineLevel="0" collapsed="false">
      <c r="A460" s="2" t="str">
        <f aca="false">'Raw Data'!A460</f>
        <v>ORD-8969</v>
      </c>
      <c r="B460" s="3" t="n">
        <f aca="false">IFERROR(DATEVALUE('Raw Data'!B460),"Check Format")</f>
        <v>46327</v>
      </c>
      <c r="C460" s="2" t="str">
        <f aca="false">IF('Raw Data'!E460="",IFERROR(INDEX('Raw Data'!$E$2:$E$501,MATCH('Raw Data'!D460,'Raw Data'!$D$2:$D$501,0)),"Unknown Customer"),'Raw Data'!E460)</f>
        <v>Brittany Farmer</v>
      </c>
      <c r="D460" s="2" t="str">
        <f aca="false">PROPER(TRIM('Raw Data'!G460))</f>
        <v>Austin</v>
      </c>
      <c r="E460" s="2" t="n">
        <f aca="false">ROUND(VALUE(SUBSTITUTE(TRIM('Raw Data'!M460),"$","")),2)</f>
        <v>1023.25</v>
      </c>
      <c r="F460" s="2" t="n">
        <f aca="false">IF('Raw Data'!O460="",0,'Raw Data'!O460)</f>
        <v>0.5</v>
      </c>
      <c r="G460" s="2" t="n">
        <f aca="false">ROUND('Raw Data'!P460,2)</f>
        <v>-85.23</v>
      </c>
      <c r="H460" s="2" t="str">
        <f aca="false">IF('Raw Data'!S460="","Medium",'Raw Data'!S460)</f>
        <v>Critical</v>
      </c>
      <c r="I460" s="2" t="str">
        <f aca="false">IF(E460&lt;100,"Small",IF(E460&lt;500,"Medium",IF(E460&lt;1500,"Large","Very Large")))</f>
        <v>Large</v>
      </c>
    </row>
    <row r="461" customFormat="false" ht="15" hidden="false" customHeight="false" outlineLevel="0" collapsed="false">
      <c r="A461" s="2" t="str">
        <f aca="false">'Raw Data'!A461</f>
        <v>ORD-17965</v>
      </c>
      <c r="B461" s="2" t="str">
        <f aca="false">IFERROR(DATEVALUE('Raw Data'!B461),"Check Format")</f>
        <v>Check Format</v>
      </c>
      <c r="C461" s="2" t="str">
        <f aca="false">IF('Raw Data'!E461="",IFERROR(INDEX('Raw Data'!$E$2:$E$501,MATCH('Raw Data'!D461,'Raw Data'!$D$2:$D$501,0)),"Unknown Customer"),'Raw Data'!E461)</f>
        <v>Susan Turner</v>
      </c>
      <c r="D461" s="2" t="str">
        <f aca="false">PROPER(TRIM('Raw Data'!G461))</f>
        <v>San Francisco</v>
      </c>
      <c r="E461" s="2" t="n">
        <f aca="false">ROUND(VALUE(SUBSTITUTE(TRIM('Raw Data'!M461),"$","")),2)</f>
        <v>3990.1</v>
      </c>
      <c r="F461" s="2" t="n">
        <f aca="false">IF('Raw Data'!O461="",0,'Raw Data'!O461)</f>
        <v>0.1</v>
      </c>
      <c r="G461" s="2" t="n">
        <f aca="false">ROUND('Raw Data'!P461,2)</f>
        <v>1358.92</v>
      </c>
      <c r="H461" s="2" t="str">
        <f aca="false">IF('Raw Data'!S461="","Medium",'Raw Data'!S461)</f>
        <v>High</v>
      </c>
      <c r="I461" s="2" t="str">
        <f aca="false">IF(E461&lt;100,"Small",IF(E461&lt;500,"Medium",IF(E461&lt;1500,"Large","Very Large")))</f>
        <v>Very Large</v>
      </c>
    </row>
    <row r="462" customFormat="false" ht="15" hidden="false" customHeight="false" outlineLevel="0" collapsed="false">
      <c r="A462" s="2" t="str">
        <f aca="false">'Raw Data'!A462</f>
        <v>ORD-7960</v>
      </c>
      <c r="B462" s="2" t="str">
        <f aca="false">IFERROR(DATEVALUE('Raw Data'!B462),"Check Format")</f>
        <v>Check Format</v>
      </c>
      <c r="C462" s="2" t="str">
        <f aca="false">IF('Raw Data'!E462="",IFERROR(INDEX('Raw Data'!$E$2:$E$501,MATCH('Raw Data'!D462,'Raw Data'!$D$2:$D$501,0)),"Unknown Customer"),'Raw Data'!E462)</f>
        <v>Christie Mccullough</v>
      </c>
      <c r="D462" s="2" t="str">
        <f aca="false">PROPER(TRIM('Raw Data'!G462))</f>
        <v>Savannah</v>
      </c>
      <c r="E462" s="2" t="n">
        <f aca="false">ROUND(VALUE(SUBSTITUTE(TRIM('Raw Data'!M462),"$","")),2)</f>
        <v>2510.94</v>
      </c>
      <c r="F462" s="2" t="n">
        <f aca="false">IF('Raw Data'!O462="",0,'Raw Data'!O462)</f>
        <v>0.3</v>
      </c>
      <c r="G462" s="2" t="n">
        <f aca="false">ROUND('Raw Data'!P462,2)</f>
        <v>-46.63</v>
      </c>
      <c r="H462" s="2" t="str">
        <f aca="false">IF('Raw Data'!S462="","Medium",'Raw Data'!S462)</f>
        <v>Medium</v>
      </c>
      <c r="I462" s="2" t="str">
        <f aca="false">IF(E462&lt;100,"Small",IF(E462&lt;500,"Medium",IF(E462&lt;1500,"Large","Very Large")))</f>
        <v>Very Large</v>
      </c>
    </row>
    <row r="463" customFormat="false" ht="15" hidden="false" customHeight="false" outlineLevel="0" collapsed="false">
      <c r="A463" s="2" t="str">
        <f aca="false">'Raw Data'!A463</f>
        <v>ORD-8016</v>
      </c>
      <c r="B463" s="3" t="n">
        <f aca="false">IFERROR(DATEVALUE('Raw Data'!B463),"Check Format")</f>
        <v>45153</v>
      </c>
      <c r="C463" s="2" t="str">
        <f aca="false">IF('Raw Data'!E463="",IFERROR(INDEX('Raw Data'!$E$2:$E$501,MATCH('Raw Data'!D463,'Raw Data'!$D$2:$D$501,0)),"Unknown Customer"),'Raw Data'!E463)</f>
        <v>Laura Roberts</v>
      </c>
      <c r="D463" s="2" t="str">
        <f aca="false">PROPER(TRIM('Raw Data'!G463))</f>
        <v>New Orleans</v>
      </c>
      <c r="E463" s="2" t="n">
        <f aca="false">ROUND(VALUE(SUBSTITUTE(TRIM('Raw Data'!M463),"$","")),2)</f>
        <v>308.19</v>
      </c>
      <c r="F463" s="2" t="n">
        <f aca="false">IF('Raw Data'!O463="",0,'Raw Data'!O463)</f>
        <v>0.4</v>
      </c>
      <c r="G463" s="2" t="n">
        <f aca="false">ROUND('Raw Data'!P463,2)</f>
        <v>-45.84</v>
      </c>
      <c r="H463" s="2" t="str">
        <f aca="false">IF('Raw Data'!S463="","Medium",'Raw Data'!S463)</f>
        <v>Medium</v>
      </c>
      <c r="I463" s="2" t="str">
        <f aca="false">IF(E463&lt;100,"Small",IF(E463&lt;500,"Medium",IF(E463&lt;1500,"Large","Very Large")))</f>
        <v>Medium</v>
      </c>
    </row>
    <row r="464" customFormat="false" ht="15" hidden="false" customHeight="false" outlineLevel="0" collapsed="false">
      <c r="A464" s="2" t="str">
        <f aca="false">'Raw Data'!A464</f>
        <v>ORD-7481</v>
      </c>
      <c r="B464" s="3" t="n">
        <f aca="false">IFERROR(DATEVALUE('Raw Data'!B464),"Check Format")</f>
        <v>45301</v>
      </c>
      <c r="C464" s="2" t="str">
        <f aca="false">IF('Raw Data'!E464="",IFERROR(INDEX('Raw Data'!$E$2:$E$501,MATCH('Raw Data'!D464,'Raw Data'!$D$2:$D$501,0)),"Unknown Customer"),'Raw Data'!E464)</f>
        <v>Dustin Gallegos</v>
      </c>
      <c r="D464" s="2" t="str">
        <f aca="false">PROPER(TRIM('Raw Data'!G464))</f>
        <v>Spokane</v>
      </c>
      <c r="E464" s="2" t="n">
        <f aca="false">ROUND(VALUE(SUBSTITUTE(TRIM('Raw Data'!M464),"$","")),2)</f>
        <v>1338.5</v>
      </c>
      <c r="F464" s="2" t="n">
        <f aca="false">IF('Raw Data'!O464="",0,'Raw Data'!O464)</f>
        <v>0.2</v>
      </c>
      <c r="G464" s="2" t="n">
        <f aca="false">ROUND('Raw Data'!P464,2)</f>
        <v>244.15</v>
      </c>
      <c r="H464" s="2" t="str">
        <f aca="false">IF('Raw Data'!S464="","Medium",'Raw Data'!S464)</f>
        <v>Critical</v>
      </c>
      <c r="I464" s="2" t="str">
        <f aca="false">IF(E464&lt;100,"Small",IF(E464&lt;500,"Medium",IF(E464&lt;1500,"Large","Very Large")))</f>
        <v>Large</v>
      </c>
    </row>
    <row r="465" customFormat="false" ht="15" hidden="false" customHeight="false" outlineLevel="0" collapsed="false">
      <c r="A465" s="2" t="str">
        <f aca="false">'Raw Data'!A465</f>
        <v>ORD-9682</v>
      </c>
      <c r="B465" s="3" t="n">
        <f aca="false">IFERROR(DATEVALUE('Raw Data'!B465),"Check Format")</f>
        <v>45265</v>
      </c>
      <c r="C465" s="2" t="str">
        <f aca="false">IF('Raw Data'!E465="",IFERROR(INDEX('Raw Data'!$E$2:$E$501,MATCH('Raw Data'!D465,'Raw Data'!$D$2:$D$501,0)),"Unknown Customer"),'Raw Data'!E465)</f>
        <v>Jessica Harris</v>
      </c>
      <c r="D465" s="2" t="str">
        <f aca="false">PROPER(TRIM('Raw Data'!G465))</f>
        <v>Birmingham</v>
      </c>
      <c r="E465" s="2" t="n">
        <f aca="false">ROUND(VALUE(SUBSTITUTE(TRIM('Raw Data'!M465),"$","")),2)</f>
        <v>6184.2</v>
      </c>
      <c r="F465" s="2" t="n">
        <f aca="false">IF('Raw Data'!O465="",0,'Raw Data'!O465)</f>
        <v>0.4</v>
      </c>
      <c r="G465" s="2" t="n">
        <f aca="false">ROUND('Raw Data'!P465,2)</f>
        <v>21.21</v>
      </c>
      <c r="H465" s="2" t="str">
        <f aca="false">IF('Raw Data'!S465="","Medium",'Raw Data'!S465)</f>
        <v>Medium</v>
      </c>
      <c r="I465" s="2" t="str">
        <f aca="false">IF(E465&lt;100,"Small",IF(E465&lt;500,"Medium",IF(E465&lt;1500,"Large","Very Large")))</f>
        <v>Very Large</v>
      </c>
    </row>
    <row r="466" customFormat="false" ht="15" hidden="false" customHeight="false" outlineLevel="0" collapsed="false">
      <c r="A466" s="2" t="str">
        <f aca="false">'Raw Data'!A466</f>
        <v>ORD-17670</v>
      </c>
      <c r="B466" s="2" t="str">
        <f aca="false">IFERROR(DATEVALUE('Raw Data'!B466),"Check Format")</f>
        <v>Check Format</v>
      </c>
      <c r="C466" s="2" t="str">
        <f aca="false">IF('Raw Data'!E466="",IFERROR(INDEX('Raw Data'!$E$2:$E$501,MATCH('Raw Data'!D466,'Raw Data'!$D$2:$D$501,0)),"Unknown Customer"),'Raw Data'!E466)</f>
        <v>Vincent Reyes</v>
      </c>
      <c r="D466" s="2" t="str">
        <f aca="false">PROPER(TRIM('Raw Data'!G466))</f>
        <v>Seattle</v>
      </c>
      <c r="E466" s="2" t="n">
        <f aca="false">ROUND(VALUE(SUBSTITUTE(TRIM('Raw Data'!M466),"$","")),2)</f>
        <v>807.56</v>
      </c>
      <c r="F466" s="2" t="n">
        <f aca="false">IF('Raw Data'!O466="",0,'Raw Data'!O466)</f>
        <v>0.15</v>
      </c>
      <c r="G466" s="2" t="n">
        <f aca="false">ROUND('Raw Data'!P466,2)</f>
        <v>32.78</v>
      </c>
      <c r="H466" s="2" t="str">
        <f aca="false">IF('Raw Data'!S466="","Medium",'Raw Data'!S466)</f>
        <v>High</v>
      </c>
      <c r="I466" s="2" t="str">
        <f aca="false">IF(E466&lt;100,"Small",IF(E466&lt;500,"Medium",IF(E466&lt;1500,"Large","Very Large")))</f>
        <v>Large</v>
      </c>
    </row>
    <row r="467" customFormat="false" ht="15" hidden="false" customHeight="false" outlineLevel="0" collapsed="false">
      <c r="A467" s="2" t="str">
        <f aca="false">'Raw Data'!A467</f>
        <v>ORD-14906</v>
      </c>
      <c r="B467" s="2" t="str">
        <f aca="false">IFERROR(DATEVALUE('Raw Data'!B467),"Check Format")</f>
        <v>Check Format</v>
      </c>
      <c r="C467" s="2" t="str">
        <f aca="false">IF('Raw Data'!E467="",IFERROR(INDEX('Raw Data'!$E$2:$E$501,MATCH('Raw Data'!D467,'Raw Data'!$D$2:$D$501,0)),"Unknown Customer"),'Raw Data'!E467)</f>
        <v>Tina Sanders</v>
      </c>
      <c r="D467" s="2" t="str">
        <f aca="false">PROPER(TRIM('Raw Data'!G467))</f>
        <v>Philadelphia</v>
      </c>
      <c r="E467" s="2" t="n">
        <f aca="false">ROUND(VALUE(SUBSTITUTE(TRIM('Raw Data'!M467),"$","")),2)</f>
        <v>3403.26</v>
      </c>
      <c r="F467" s="2" t="n">
        <f aca="false">IF('Raw Data'!O467="",0,'Raw Data'!O467)</f>
        <v>0.1</v>
      </c>
      <c r="G467" s="2" t="n">
        <f aca="false">ROUND('Raw Data'!P467,2)</f>
        <v>733.09</v>
      </c>
      <c r="H467" s="2" t="str">
        <f aca="false">IF('Raw Data'!S467="","Medium",'Raw Data'!S467)</f>
        <v>Critical</v>
      </c>
      <c r="I467" s="2" t="str">
        <f aca="false">IF(E467&lt;100,"Small",IF(E467&lt;500,"Medium",IF(E467&lt;1500,"Large","Very Large")))</f>
        <v>Very Large</v>
      </c>
    </row>
    <row r="468" customFormat="false" ht="15" hidden="false" customHeight="false" outlineLevel="0" collapsed="false">
      <c r="A468" s="2" t="str">
        <f aca="false">'Raw Data'!A468</f>
        <v>ORD-15916</v>
      </c>
      <c r="B468" s="2" t="str">
        <f aca="false">IFERROR(DATEVALUE('Raw Data'!B468),"Check Format")</f>
        <v>Check Format</v>
      </c>
      <c r="C468" s="2" t="str">
        <f aca="false">IF('Raw Data'!E468="",IFERROR(INDEX('Raw Data'!$E$2:$E$501,MATCH('Raw Data'!D468,'Raw Data'!$D$2:$D$501,0)),"Unknown Customer"),'Raw Data'!E468)</f>
        <v>Jennifer Jones</v>
      </c>
      <c r="D468" s="2" t="str">
        <f aca="false">PROPER(TRIM('Raw Data'!G468))</f>
        <v>Columbus</v>
      </c>
      <c r="E468" s="2" t="n">
        <f aca="false">ROUND(VALUE(SUBSTITUTE(TRIM('Raw Data'!M468),"$","")),2)</f>
        <v>1377.72</v>
      </c>
      <c r="F468" s="2" t="n">
        <f aca="false">IF('Raw Data'!O468="",0,'Raw Data'!O468)</f>
        <v>0.2</v>
      </c>
      <c r="G468" s="2" t="n">
        <f aca="false">ROUND('Raw Data'!P468,2)</f>
        <v>-60.87</v>
      </c>
      <c r="H468" s="2" t="str">
        <f aca="false">IF('Raw Data'!S468="","Medium",'Raw Data'!S468)</f>
        <v>Critical</v>
      </c>
      <c r="I468" s="2" t="str">
        <f aca="false">IF(E468&lt;100,"Small",IF(E468&lt;500,"Medium",IF(E468&lt;1500,"Large","Very Large")))</f>
        <v>Large</v>
      </c>
    </row>
    <row r="469" customFormat="false" ht="15" hidden="false" customHeight="false" outlineLevel="0" collapsed="false">
      <c r="A469" s="2" t="str">
        <f aca="false">'Raw Data'!A469</f>
        <v>ORD-9456</v>
      </c>
      <c r="B469" s="3" t="n">
        <f aca="false">IFERROR(DATEVALUE('Raw Data'!B469),"Check Format")</f>
        <v>45180</v>
      </c>
      <c r="C469" s="2" t="str">
        <f aca="false">IF('Raw Data'!E469="",IFERROR(INDEX('Raw Data'!$E$2:$E$501,MATCH('Raw Data'!D469,'Raw Data'!$D$2:$D$501,0)),"Unknown Customer"),'Raw Data'!E469)</f>
        <v>Holly Wood</v>
      </c>
      <c r="D469" s="2" t="str">
        <f aca="false">PROPER(TRIM('Raw Data'!G469))</f>
        <v>New Orleans</v>
      </c>
      <c r="E469" s="2" t="n">
        <f aca="false">ROUND(VALUE(SUBSTITUTE(TRIM('Raw Data'!M469),"$","")),2)</f>
        <v>79.23</v>
      </c>
      <c r="F469" s="2" t="n">
        <f aca="false">IF('Raw Data'!O469="",0,'Raw Data'!O469)</f>
        <v>0.4</v>
      </c>
      <c r="G469" s="2" t="n">
        <f aca="false">ROUND('Raw Data'!P469,2)</f>
        <v>-15.16</v>
      </c>
      <c r="H469" s="2" t="str">
        <f aca="false">IF('Raw Data'!S469="","Medium",'Raw Data'!S469)</f>
        <v>Critical</v>
      </c>
      <c r="I469" s="2" t="str">
        <f aca="false">IF(E469&lt;100,"Small",IF(E469&lt;500,"Medium",IF(E469&lt;1500,"Large","Very Large")))</f>
        <v>Small</v>
      </c>
    </row>
    <row r="470" customFormat="false" ht="15" hidden="false" customHeight="false" outlineLevel="0" collapsed="false">
      <c r="A470" s="2" t="str">
        <f aca="false">'Raw Data'!A470</f>
        <v>ORD-15007</v>
      </c>
      <c r="B470" s="2" t="str">
        <f aca="false">IFERROR(DATEVALUE('Raw Data'!B470),"Check Format")</f>
        <v>Check Format</v>
      </c>
      <c r="C470" s="2" t="str">
        <f aca="false">IF('Raw Data'!E470="",IFERROR(INDEX('Raw Data'!$E$2:$E$501,MATCH('Raw Data'!D470,'Raw Data'!$D$2:$D$501,0)),"Unknown Customer"),'Raw Data'!E470)</f>
        <v>Levi Lopez</v>
      </c>
      <c r="D470" s="2" t="str">
        <f aca="false">PROPER(TRIM('Raw Data'!G470))</f>
        <v>Detroit</v>
      </c>
      <c r="E470" s="2" t="n">
        <f aca="false">ROUND(VALUE(SUBSTITUTE(TRIM('Raw Data'!M470),"$","")),2)</f>
        <v>5870.7</v>
      </c>
      <c r="F470" s="2" t="n">
        <f aca="false">IF('Raw Data'!O470="",0,'Raw Data'!O470)</f>
        <v>0.3</v>
      </c>
      <c r="G470" s="2" t="n">
        <f aca="false">ROUND('Raw Data'!P470,2)</f>
        <v>-166.93</v>
      </c>
      <c r="H470" s="2" t="str">
        <f aca="false">IF('Raw Data'!S470="","Medium",'Raw Data'!S470)</f>
        <v>High</v>
      </c>
      <c r="I470" s="2" t="str">
        <f aca="false">IF(E470&lt;100,"Small",IF(E470&lt;500,"Medium",IF(E470&lt;1500,"Large","Very Large")))</f>
        <v>Very Large</v>
      </c>
    </row>
    <row r="471" customFormat="false" ht="15" hidden="false" customHeight="false" outlineLevel="0" collapsed="false">
      <c r="A471" s="2" t="str">
        <f aca="false">'Raw Data'!A471</f>
        <v>ORD-7497</v>
      </c>
      <c r="B471" s="3" t="n">
        <f aca="false">IFERROR(DATEVALUE('Raw Data'!B471),"Check Format")</f>
        <v>46174</v>
      </c>
      <c r="C471" s="2" t="str">
        <f aca="false">IF('Raw Data'!E471="",IFERROR(INDEX('Raw Data'!$E$2:$E$501,MATCH('Raw Data'!D471,'Raw Data'!$D$2:$D$501,0)),"Unknown Customer"),'Raw Data'!E471)</f>
        <v>Maria Fisher</v>
      </c>
      <c r="D471" s="2" t="str">
        <f aca="false">PROPER(TRIM('Raw Data'!G471))</f>
        <v>Columbus</v>
      </c>
      <c r="E471" s="2" t="n">
        <f aca="false">ROUND(VALUE(SUBSTITUTE(TRIM('Raw Data'!M471),"$","")),2)</f>
        <v>2086.49</v>
      </c>
      <c r="F471" s="2" t="n">
        <f aca="false">IF('Raw Data'!O471="",0,'Raw Data'!O471)</f>
        <v>0.15</v>
      </c>
      <c r="G471" s="2" t="n">
        <f aca="false">ROUND('Raw Data'!P471,2)</f>
        <v>279.03</v>
      </c>
      <c r="H471" s="2" t="str">
        <f aca="false">IF('Raw Data'!S471="","Medium",'Raw Data'!S471)</f>
        <v>High</v>
      </c>
      <c r="I471" s="2" t="str">
        <f aca="false">IF(E471&lt;100,"Small",IF(E471&lt;500,"Medium",IF(E471&lt;1500,"Large","Very Large")))</f>
        <v>Very Large</v>
      </c>
    </row>
    <row r="472" customFormat="false" ht="15" hidden="false" customHeight="false" outlineLevel="0" collapsed="false">
      <c r="A472" s="2" t="str">
        <f aca="false">'Raw Data'!A472</f>
        <v>ORD-16804</v>
      </c>
      <c r="B472" s="2" t="str">
        <f aca="false">IFERROR(DATEVALUE('Raw Data'!B472),"Check Format")</f>
        <v>Check Format</v>
      </c>
      <c r="C472" s="2" t="str">
        <f aca="false">IF('Raw Data'!E472="",IFERROR(INDEX('Raw Data'!$E$2:$E$501,MATCH('Raw Data'!D472,'Raw Data'!$D$2:$D$501,0)),"Unknown Customer"),'Raw Data'!E472)</f>
        <v>Katherine Salas</v>
      </c>
      <c r="D472" s="2" t="str">
        <f aca="false">PROPER(TRIM('Raw Data'!G472))</f>
        <v>Birmingham</v>
      </c>
      <c r="E472" s="2" t="n">
        <f aca="false">ROUND(VALUE(SUBSTITUTE(TRIM('Raw Data'!M472),"$","")),2)</f>
        <v>621.06</v>
      </c>
      <c r="F472" s="2" t="n">
        <f aca="false">IF('Raw Data'!O472="",0,'Raw Data'!O472)</f>
        <v>0.4</v>
      </c>
      <c r="G472" s="2" t="n">
        <f aca="false">ROUND('Raw Data'!P472,2)</f>
        <v>-152.86</v>
      </c>
      <c r="H472" s="2" t="str">
        <f aca="false">IF('Raw Data'!S472="","Medium",'Raw Data'!S472)</f>
        <v>Medium</v>
      </c>
      <c r="I472" s="2" t="str">
        <f aca="false">IF(E472&lt;100,"Small",IF(E472&lt;500,"Medium",IF(E472&lt;1500,"Large","Very Large")))</f>
        <v>Large</v>
      </c>
    </row>
    <row r="473" customFormat="false" ht="15" hidden="false" customHeight="false" outlineLevel="0" collapsed="false">
      <c r="A473" s="2" t="str">
        <f aca="false">'Raw Data'!A473</f>
        <v>ORD-7799</v>
      </c>
      <c r="B473" s="3" t="n">
        <f aca="false">IFERROR(DATEVALUE('Raw Data'!B473),"Check Format")</f>
        <v>46025</v>
      </c>
      <c r="C473" s="2" t="str">
        <f aca="false">IF('Raw Data'!E473="",IFERROR(INDEX('Raw Data'!$E$2:$E$501,MATCH('Raw Data'!D473,'Raw Data'!$D$2:$D$501,0)),"Unknown Customer"),'Raw Data'!E473)</f>
        <v>Vanessa Santiago</v>
      </c>
      <c r="D473" s="2" t="str">
        <f aca="false">PROPER(TRIM('Raw Data'!G473))</f>
        <v>Nashville</v>
      </c>
      <c r="E473" s="2" t="n">
        <f aca="false">ROUND(VALUE(SUBSTITUTE(TRIM('Raw Data'!M473),"$","")),2)</f>
        <v>1437.39</v>
      </c>
      <c r="F473" s="2" t="n">
        <f aca="false">IF('Raw Data'!O473="",0,'Raw Data'!O473)</f>
        <v>0.2</v>
      </c>
      <c r="G473" s="2" t="n">
        <f aca="false">ROUND('Raw Data'!P473,2)</f>
        <v>337.18</v>
      </c>
      <c r="H473" s="2" t="str">
        <f aca="false">IF('Raw Data'!S473="","Medium",'Raw Data'!S473)</f>
        <v>Low</v>
      </c>
      <c r="I473" s="2" t="str">
        <f aca="false">IF(E473&lt;100,"Small",IF(E473&lt;500,"Medium",IF(E473&lt;1500,"Large","Very Large")))</f>
        <v>Large</v>
      </c>
    </row>
    <row r="474" customFormat="false" ht="15" hidden="false" customHeight="false" outlineLevel="0" collapsed="false">
      <c r="A474" s="2" t="str">
        <f aca="false">'Raw Data'!A474</f>
        <v>ORD-14900</v>
      </c>
      <c r="B474" s="2" t="str">
        <f aca="false">IFERROR(DATEVALUE('Raw Data'!B474),"Check Format")</f>
        <v>Check Format</v>
      </c>
      <c r="C474" s="2" t="str">
        <f aca="false">IF('Raw Data'!E474="",IFERROR(INDEX('Raw Data'!$E$2:$E$501,MATCH('Raw Data'!D474,'Raw Data'!$D$2:$D$501,0)),"Unknown Customer"),'Raw Data'!E474)</f>
        <v>Ian Torres</v>
      </c>
      <c r="D474" s="2" t="str">
        <f aca="false">PROPER(TRIM('Raw Data'!G474))</f>
        <v>Louisville</v>
      </c>
      <c r="E474" s="2" t="n">
        <f aca="false">ROUND(VALUE(SUBSTITUTE(TRIM('Raw Data'!M474),"$","")),2)</f>
        <v>1417.47</v>
      </c>
      <c r="F474" s="2" t="n">
        <f aca="false">IF('Raw Data'!O474="",0,'Raw Data'!O474)</f>
        <v>0.15</v>
      </c>
      <c r="G474" s="2" t="n">
        <f aca="false">ROUND('Raw Data'!P474,2)</f>
        <v>393.49</v>
      </c>
      <c r="H474" s="2" t="str">
        <f aca="false">IF('Raw Data'!S474="","Medium",'Raw Data'!S474)</f>
        <v>Medium</v>
      </c>
      <c r="I474" s="2" t="str">
        <f aca="false">IF(E474&lt;100,"Small",IF(E474&lt;500,"Medium",IF(E474&lt;1500,"Large","Very Large")))</f>
        <v>Large</v>
      </c>
    </row>
    <row r="475" customFormat="false" ht="15" hidden="false" customHeight="false" outlineLevel="0" collapsed="false">
      <c r="A475" s="2" t="str">
        <f aca="false">'Raw Data'!A475</f>
        <v>ORD-17689</v>
      </c>
      <c r="B475" s="3" t="n">
        <f aca="false">IFERROR(DATEVALUE('Raw Data'!B475),"Check Format")</f>
        <v>45887</v>
      </c>
      <c r="C475" s="2" t="str">
        <f aca="false">IF('Raw Data'!E475="",IFERROR(INDEX('Raw Data'!$E$2:$E$501,MATCH('Raw Data'!D475,'Raw Data'!$D$2:$D$501,0)),"Unknown Customer"),'Raw Data'!E475)</f>
        <v>Frank Whitaker</v>
      </c>
      <c r="D475" s="2" t="str">
        <f aca="false">PROPER(TRIM('Raw Data'!G475))</f>
        <v>Ann Arbor</v>
      </c>
      <c r="E475" s="2" t="n">
        <f aca="false">ROUND(VALUE(SUBSTITUTE(TRIM('Raw Data'!M475),"$","")),2)</f>
        <v>138.13</v>
      </c>
      <c r="F475" s="2" t="n">
        <f aca="false">IF('Raw Data'!O475="",0,'Raw Data'!O475)</f>
        <v>0</v>
      </c>
      <c r="G475" s="2" t="n">
        <f aca="false">ROUND('Raw Data'!P475,2)</f>
        <v>31.76</v>
      </c>
      <c r="H475" s="2" t="str">
        <f aca="false">IF('Raw Data'!S475="","Medium",'Raw Data'!S475)</f>
        <v>High</v>
      </c>
      <c r="I475" s="2" t="str">
        <f aca="false">IF(E475&lt;100,"Small",IF(E475&lt;500,"Medium",IF(E475&lt;1500,"Large","Very Large")))</f>
        <v>Medium</v>
      </c>
    </row>
    <row r="476" customFormat="false" ht="15" hidden="false" customHeight="false" outlineLevel="0" collapsed="false">
      <c r="A476" s="2" t="str">
        <f aca="false">'Raw Data'!A476</f>
        <v>ORD-4575</v>
      </c>
      <c r="B476" s="2" t="str">
        <f aca="false">IFERROR(DATEVALUE('Raw Data'!B476),"Check Format")</f>
        <v>Check Format</v>
      </c>
      <c r="C476" s="2" t="str">
        <f aca="false">IF('Raw Data'!E476="",IFERROR(INDEX('Raw Data'!$E$2:$E$501,MATCH('Raw Data'!D476,'Raw Data'!$D$2:$D$501,0)),"Unknown Customer"),'Raw Data'!E476)</f>
        <v>Michael Cooper</v>
      </c>
      <c r="D476" s="2" t="str">
        <f aca="false">PROPER(TRIM('Raw Data'!G476))</f>
        <v>Eugene</v>
      </c>
      <c r="E476" s="2" t="n">
        <f aca="false">ROUND(VALUE(SUBSTITUTE(TRIM('Raw Data'!M476),"$","")),2)</f>
        <v>483.98</v>
      </c>
      <c r="F476" s="2" t="n">
        <f aca="false">IF('Raw Data'!O476="",0,'Raw Data'!O476)</f>
        <v>0</v>
      </c>
      <c r="G476" s="2" t="n">
        <f aca="false">ROUND('Raw Data'!P476,2)</f>
        <v>105.34</v>
      </c>
      <c r="H476" s="2" t="str">
        <f aca="false">IF('Raw Data'!S476="","Medium",'Raw Data'!S476)</f>
        <v>Critical</v>
      </c>
      <c r="I476" s="2" t="str">
        <f aca="false">IF(E476&lt;100,"Small",IF(E476&lt;500,"Medium",IF(E476&lt;1500,"Large","Very Large")))</f>
        <v>Medium</v>
      </c>
    </row>
    <row r="477" customFormat="false" ht="15" hidden="false" customHeight="false" outlineLevel="0" collapsed="false">
      <c r="A477" s="2" t="str">
        <f aca="false">'Raw Data'!A477</f>
        <v>ORD-16595</v>
      </c>
      <c r="B477" s="2" t="str">
        <f aca="false">IFERROR(DATEVALUE('Raw Data'!B477),"Check Format")</f>
        <v>Check Format</v>
      </c>
      <c r="C477" s="2" t="str">
        <f aca="false">IF('Raw Data'!E477="",IFERROR(INDEX('Raw Data'!$E$2:$E$501,MATCH('Raw Data'!D477,'Raw Data'!$D$2:$D$501,0)),"Unknown Customer"),'Raw Data'!E477)</f>
        <v>Christopher Johnson</v>
      </c>
      <c r="D477" s="2" t="str">
        <f aca="false">PROPER(TRIM('Raw Data'!G477))</f>
        <v>Norfolk</v>
      </c>
      <c r="E477" s="2" t="n">
        <f aca="false">ROUND(VALUE(SUBSTITUTE(TRIM('Raw Data'!M477),"$","")),2)</f>
        <v>5338.9</v>
      </c>
      <c r="F477" s="2" t="n">
        <f aca="false">IF('Raw Data'!O477="",0,'Raw Data'!O477)</f>
        <v>0.4</v>
      </c>
      <c r="G477" s="2" t="n">
        <f aca="false">ROUND('Raw Data'!P477,2)</f>
        <v>-547.77</v>
      </c>
      <c r="H477" s="2" t="str">
        <f aca="false">IF('Raw Data'!S477="","Medium",'Raw Data'!S477)</f>
        <v>Critical</v>
      </c>
      <c r="I477" s="2" t="str">
        <f aca="false">IF(E477&lt;100,"Small",IF(E477&lt;500,"Medium",IF(E477&lt;1500,"Large","Very Large")))</f>
        <v>Very Large</v>
      </c>
    </row>
    <row r="478" customFormat="false" ht="15" hidden="false" customHeight="false" outlineLevel="0" collapsed="false">
      <c r="A478" s="2" t="str">
        <f aca="false">'Raw Data'!A478</f>
        <v>ORD-14139</v>
      </c>
      <c r="B478" s="3" t="n">
        <f aca="false">IFERROR(DATEVALUE('Raw Data'!B478),"Check Format")</f>
        <v>46027</v>
      </c>
      <c r="C478" s="2" t="str">
        <f aca="false">IF('Raw Data'!E478="",IFERROR(INDEX('Raw Data'!$E$2:$E$501,MATCH('Raw Data'!D478,'Raw Data'!$D$2:$D$501,0)),"Unknown Customer"),'Raw Data'!E478)</f>
        <v>Samantha Gardner</v>
      </c>
      <c r="D478" s="2" t="str">
        <f aca="false">PROPER(TRIM('Raw Data'!G478))</f>
        <v>Pittsburgh</v>
      </c>
      <c r="E478" s="2" t="n">
        <f aca="false">ROUND(VALUE(SUBSTITUTE(TRIM('Raw Data'!M478),"$","")),2)</f>
        <v>2677.32</v>
      </c>
      <c r="F478" s="2" t="n">
        <f aca="false">IF('Raw Data'!O478="",0,'Raw Data'!O478)</f>
        <v>0.3</v>
      </c>
      <c r="G478" s="2" t="n">
        <f aca="false">ROUND('Raw Data'!P478,2)</f>
        <v>-254.9</v>
      </c>
      <c r="H478" s="2" t="str">
        <f aca="false">IF('Raw Data'!S478="","Medium",'Raw Data'!S478)</f>
        <v>Low</v>
      </c>
      <c r="I478" s="2" t="str">
        <f aca="false">IF(E478&lt;100,"Small",IF(E478&lt;500,"Medium",IF(E478&lt;1500,"Large","Very Large")))</f>
        <v>Very Large</v>
      </c>
    </row>
    <row r="479" customFormat="false" ht="15" hidden="false" customHeight="false" outlineLevel="0" collapsed="false">
      <c r="A479" s="2" t="str">
        <f aca="false">'Raw Data'!A479</f>
        <v>ORD-12536</v>
      </c>
      <c r="B479" s="3" t="n">
        <f aca="false">IFERROR(DATEVALUE('Raw Data'!B479),"Check Format")</f>
        <v>45811</v>
      </c>
      <c r="C479" s="2" t="str">
        <f aca="false">IF('Raw Data'!E479="",IFERROR(INDEX('Raw Data'!$E$2:$E$501,MATCH('Raw Data'!D479,'Raw Data'!$D$2:$D$501,0)),"Unknown Customer"),'Raw Data'!E479)</f>
        <v>David Reynolds</v>
      </c>
      <c r="D479" s="2" t="str">
        <f aca="false">PROPER(TRIM('Raw Data'!G479))</f>
        <v>St. Louis</v>
      </c>
      <c r="E479" s="2" t="n">
        <f aca="false">ROUND(VALUE(SUBSTITUTE(TRIM('Raw Data'!M479),"$","")),2)</f>
        <v>440.64</v>
      </c>
      <c r="F479" s="2" t="n">
        <f aca="false">IF('Raw Data'!O479="",0,'Raw Data'!O479)</f>
        <v>0.1</v>
      </c>
      <c r="G479" s="2" t="n">
        <f aca="false">ROUND('Raw Data'!P479,2)</f>
        <v>153.62</v>
      </c>
      <c r="H479" s="2" t="str">
        <f aca="false">IF('Raw Data'!S479="","Medium",'Raw Data'!S479)</f>
        <v>Low</v>
      </c>
      <c r="I479" s="2" t="str">
        <f aca="false">IF(E479&lt;100,"Small",IF(E479&lt;500,"Medium",IF(E479&lt;1500,"Large","Very Large")))</f>
        <v>Medium</v>
      </c>
    </row>
    <row r="480" customFormat="false" ht="15" hidden="false" customHeight="false" outlineLevel="0" collapsed="false">
      <c r="A480" s="2" t="str">
        <f aca="false">'Raw Data'!A480</f>
        <v>ORD-8524</v>
      </c>
      <c r="B480" s="3" t="n">
        <f aca="false">IFERROR(DATEVALUE('Raw Data'!B480),"Check Format")</f>
        <v>45347</v>
      </c>
      <c r="C480" s="2" t="str">
        <f aca="false">IF('Raw Data'!E480="",IFERROR(INDEX('Raw Data'!$E$2:$E$501,MATCH('Raw Data'!D480,'Raw Data'!$D$2:$D$501,0)),"Unknown Customer"),'Raw Data'!E480)</f>
        <v>Christopher Anderson</v>
      </c>
      <c r="D480" s="2" t="str">
        <f aca="false">PROPER(TRIM('Raw Data'!G480))</f>
        <v>San Antonio</v>
      </c>
      <c r="E480" s="2" t="n">
        <f aca="false">ROUND(VALUE(SUBSTITUTE(TRIM('Raw Data'!M480),"$","")),2)</f>
        <v>1909.95</v>
      </c>
      <c r="F480" s="2" t="n">
        <f aca="false">IF('Raw Data'!O480="",0,'Raw Data'!O480)</f>
        <v>0.15</v>
      </c>
      <c r="G480" s="2" t="n">
        <f aca="false">ROUND('Raw Data'!P480,2)</f>
        <v>40.18</v>
      </c>
      <c r="H480" s="2" t="str">
        <f aca="false">IF('Raw Data'!S480="","Medium",'Raw Data'!S480)</f>
        <v>Medium</v>
      </c>
      <c r="I480" s="2" t="str">
        <f aca="false">IF(E480&lt;100,"Small",IF(E480&lt;500,"Medium",IF(E480&lt;1500,"Large","Very Large")))</f>
        <v>Very Large</v>
      </c>
    </row>
    <row r="481" customFormat="false" ht="15" hidden="false" customHeight="false" outlineLevel="0" collapsed="false">
      <c r="A481" s="2" t="str">
        <f aca="false">'Raw Data'!A481</f>
        <v>ORD-13929</v>
      </c>
      <c r="B481" s="3" t="n">
        <f aca="false">IFERROR(DATEVALUE('Raw Data'!B481),"Check Format")</f>
        <v>45661</v>
      </c>
      <c r="C481" s="2" t="str">
        <f aca="false">IF('Raw Data'!E481="",IFERROR(INDEX('Raw Data'!$E$2:$E$501,MATCH('Raw Data'!D481,'Raw Data'!$D$2:$D$501,0)),"Unknown Customer"),'Raw Data'!E481)</f>
        <v>Michelle Davis DVM</v>
      </c>
      <c r="D481" s="2" t="str">
        <f aca="false">PROPER(TRIM('Raw Data'!G481))</f>
        <v>St. Louis</v>
      </c>
      <c r="E481" s="2" t="n">
        <f aca="false">ROUND(VALUE(SUBSTITUTE(TRIM('Raw Data'!M481),"$","")),2)</f>
        <v>395.58</v>
      </c>
      <c r="F481" s="2" t="n">
        <f aca="false">IF('Raw Data'!O481="",0,'Raw Data'!O481)</f>
        <v>0.1</v>
      </c>
      <c r="G481" s="2" t="n">
        <f aca="false">ROUND('Raw Data'!P481,2)</f>
        <v>113.96</v>
      </c>
      <c r="H481" s="2" t="str">
        <f aca="false">IF('Raw Data'!S481="","Medium",'Raw Data'!S481)</f>
        <v>Critical</v>
      </c>
      <c r="I481" s="2" t="str">
        <f aca="false">IF(E481&lt;100,"Small",IF(E481&lt;500,"Medium",IF(E481&lt;1500,"Large","Very Large")))</f>
        <v>Medium</v>
      </c>
    </row>
    <row r="482" customFormat="false" ht="15" hidden="false" customHeight="false" outlineLevel="0" collapsed="false">
      <c r="A482" s="2" t="str">
        <f aca="false">'Raw Data'!A482</f>
        <v>ORD-5436</v>
      </c>
      <c r="B482" s="3" t="n">
        <f aca="false">IFERROR(DATEVALUE('Raw Data'!B482),"Check Format")</f>
        <v>45847</v>
      </c>
      <c r="C482" s="2" t="str">
        <f aca="false">IF('Raw Data'!E482="",IFERROR(INDEX('Raw Data'!$E$2:$E$501,MATCH('Raw Data'!D482,'Raw Data'!$D$2:$D$501,0)),"Unknown Customer"),'Raw Data'!E482)</f>
        <v>Mr. Justin Green III</v>
      </c>
      <c r="D482" s="2" t="str">
        <f aca="false">PROPER(TRIM('Raw Data'!G482))</f>
        <v>Cleveland</v>
      </c>
      <c r="E482" s="2" t="n">
        <f aca="false">ROUND(VALUE(SUBSTITUTE(TRIM('Raw Data'!M482),"$","")),2)</f>
        <v>25.99</v>
      </c>
      <c r="F482" s="2" t="n">
        <f aca="false">IF('Raw Data'!O482="",0,'Raw Data'!O482)</f>
        <v>0.15</v>
      </c>
      <c r="G482" s="2" t="n">
        <f aca="false">ROUND('Raw Data'!P482,2)</f>
        <v>4.47</v>
      </c>
      <c r="H482" s="2" t="str">
        <f aca="false">IF('Raw Data'!S482="","Medium",'Raw Data'!S482)</f>
        <v>Medium</v>
      </c>
      <c r="I482" s="2" t="str">
        <f aca="false">IF(E482&lt;100,"Small",IF(E482&lt;500,"Medium",IF(E482&lt;1500,"Large","Very Large")))</f>
        <v>Small</v>
      </c>
    </row>
    <row r="483" customFormat="false" ht="15" hidden="false" customHeight="false" outlineLevel="0" collapsed="false">
      <c r="A483" s="2" t="str">
        <f aca="false">'Raw Data'!A483</f>
        <v>ORD-16673</v>
      </c>
      <c r="B483" s="3" t="n">
        <f aca="false">IFERROR(DATEVALUE('Raw Data'!B483),"Check Format")</f>
        <v>45512</v>
      </c>
      <c r="C483" s="2" t="str">
        <f aca="false">IF('Raw Data'!E483="",IFERROR(INDEX('Raw Data'!$E$2:$E$501,MATCH('Raw Data'!D483,'Raw Data'!$D$2:$D$501,0)),"Unknown Customer"),'Raw Data'!E483)</f>
        <v>Jose Crawford</v>
      </c>
      <c r="D483" s="2" t="str">
        <f aca="false">PROPER(TRIM('Raw Data'!G483))</f>
        <v>Kansas City</v>
      </c>
      <c r="E483" s="2" t="n">
        <f aca="false">ROUND(VALUE(SUBSTITUTE(TRIM('Raw Data'!M483),"$","")),2)</f>
        <v>3616.02</v>
      </c>
      <c r="F483" s="2" t="n">
        <f aca="false">IF('Raw Data'!O483="",0,'Raw Data'!O483)</f>
        <v>0.1</v>
      </c>
      <c r="G483" s="2" t="n">
        <f aca="false">ROUND('Raw Data'!P483,2)</f>
        <v>669.49</v>
      </c>
      <c r="H483" s="2" t="str">
        <f aca="false">IF('Raw Data'!S483="","Medium",'Raw Data'!S483)</f>
        <v>Low</v>
      </c>
      <c r="I483" s="2" t="str">
        <f aca="false">IF(E483&lt;100,"Small",IF(E483&lt;500,"Medium",IF(E483&lt;1500,"Large","Very Large")))</f>
        <v>Very Large</v>
      </c>
    </row>
    <row r="484" customFormat="false" ht="15" hidden="false" customHeight="false" outlineLevel="0" collapsed="false">
      <c r="A484" s="2" t="str">
        <f aca="false">'Raw Data'!A484</f>
        <v>ORD-16348</v>
      </c>
      <c r="B484" s="3" t="n">
        <f aca="false">IFERROR(DATEVALUE('Raw Data'!B484),"Check Format")</f>
        <v>45296</v>
      </c>
      <c r="C484" s="2" t="str">
        <f aca="false">IF('Raw Data'!E484="",IFERROR(INDEX('Raw Data'!$E$2:$E$501,MATCH('Raw Data'!D484,'Raw Data'!$D$2:$D$501,0)),"Unknown Customer"),'Raw Data'!E484)</f>
        <v>Parker Cain</v>
      </c>
      <c r="D484" s="2" t="str">
        <f aca="false">PROPER(TRIM('Raw Data'!G484))</f>
        <v>Buffalo</v>
      </c>
      <c r="E484" s="2" t="n">
        <f aca="false">ROUND(VALUE(SUBSTITUTE(TRIM('Raw Data'!M484),"$","")),2)</f>
        <v>1835.5</v>
      </c>
      <c r="F484" s="2" t="n">
        <f aca="false">IF('Raw Data'!O484="",0,'Raw Data'!O484)</f>
        <v>0.3</v>
      </c>
      <c r="G484" s="2" t="n">
        <f aca="false">ROUND('Raw Data'!P484,2)</f>
        <v>62.88</v>
      </c>
      <c r="H484" s="2" t="str">
        <f aca="false">IF('Raw Data'!S484="","Medium",'Raw Data'!S484)</f>
        <v>Critical</v>
      </c>
      <c r="I484" s="2" t="str">
        <f aca="false">IF(E484&lt;100,"Small",IF(E484&lt;500,"Medium",IF(E484&lt;1500,"Large","Very Large")))</f>
        <v>Very Large</v>
      </c>
    </row>
    <row r="485" customFormat="false" ht="15" hidden="false" customHeight="false" outlineLevel="0" collapsed="false">
      <c r="A485" s="2" t="str">
        <f aca="false">'Raw Data'!A485</f>
        <v>ORD-12277</v>
      </c>
      <c r="B485" s="3" t="n">
        <f aca="false">IFERROR(DATEVALUE('Raw Data'!B485),"Check Format")</f>
        <v>45798</v>
      </c>
      <c r="C485" s="2" t="str">
        <f aca="false">IF('Raw Data'!E485="",IFERROR(INDEX('Raw Data'!$E$2:$E$501,MATCH('Raw Data'!D485,'Raw Data'!$D$2:$D$501,0)),"Unknown Customer"),'Raw Data'!E485)</f>
        <v>David Martinez</v>
      </c>
      <c r="D485" s="2" t="str">
        <f aca="false">PROPER(TRIM('Raw Data'!G485))</f>
        <v>Cleveland</v>
      </c>
      <c r="E485" s="2" t="n">
        <f aca="false">ROUND(VALUE(SUBSTITUTE(TRIM('Raw Data'!M485),"$","")),2)</f>
        <v>1423.46</v>
      </c>
      <c r="F485" s="2" t="n">
        <f aca="false">IF('Raw Data'!O485="",0,'Raw Data'!O485)</f>
        <v>0.2</v>
      </c>
      <c r="G485" s="2" t="n">
        <f aca="false">ROUND('Raw Data'!P485,2)</f>
        <v>155.65</v>
      </c>
      <c r="H485" s="2" t="str">
        <f aca="false">IF('Raw Data'!S485="","Medium",'Raw Data'!S485)</f>
        <v>Low</v>
      </c>
      <c r="I485" s="2" t="str">
        <f aca="false">IF(E485&lt;100,"Small",IF(E485&lt;500,"Medium",IF(E485&lt;1500,"Large","Very Large")))</f>
        <v>Large</v>
      </c>
    </row>
    <row r="486" customFormat="false" ht="15" hidden="false" customHeight="false" outlineLevel="0" collapsed="false">
      <c r="A486" s="2" t="str">
        <f aca="false">'Raw Data'!A486</f>
        <v>ORD-13316</v>
      </c>
      <c r="B486" s="2" t="str">
        <f aca="false">IFERROR(DATEVALUE('Raw Data'!B486),"Check Format")</f>
        <v>Check Format</v>
      </c>
      <c r="C486" s="2" t="str">
        <f aca="false">IF('Raw Data'!E486="",IFERROR(INDEX('Raw Data'!$E$2:$E$501,MATCH('Raw Data'!D486,'Raw Data'!$D$2:$D$501,0)),"Unknown Customer"),'Raw Data'!E486)</f>
        <v>Katie Mcneil</v>
      </c>
      <c r="D486" s="2" t="str">
        <f aca="false">PROPER(TRIM('Raw Data'!G486))</f>
        <v>Seattle</v>
      </c>
      <c r="E486" s="2" t="n">
        <f aca="false">ROUND(VALUE(SUBSTITUTE(TRIM('Raw Data'!M486),"$","")),2)</f>
        <v>2111.13</v>
      </c>
      <c r="F486" s="2" t="n">
        <f aca="false">IF('Raw Data'!O486="",0,'Raw Data'!O486)</f>
        <v>0.15</v>
      </c>
      <c r="G486" s="2" t="n">
        <f aca="false">ROUND('Raw Data'!P486,2)</f>
        <v>52.14</v>
      </c>
      <c r="H486" s="2" t="str">
        <f aca="false">IF('Raw Data'!S486="","Medium",'Raw Data'!S486)</f>
        <v>Low</v>
      </c>
      <c r="I486" s="2" t="str">
        <f aca="false">IF(E486&lt;100,"Small",IF(E486&lt;500,"Medium",IF(E486&lt;1500,"Large","Very Large")))</f>
        <v>Very Large</v>
      </c>
    </row>
    <row r="487" customFormat="false" ht="15" hidden="false" customHeight="false" outlineLevel="0" collapsed="false">
      <c r="A487" s="2" t="str">
        <f aca="false">'Raw Data'!A487</f>
        <v>ORD-15234</v>
      </c>
      <c r="B487" s="2" t="str">
        <f aca="false">IFERROR(DATEVALUE('Raw Data'!B487),"Check Format")</f>
        <v>Check Format</v>
      </c>
      <c r="C487" s="2" t="str">
        <f aca="false">IF('Raw Data'!E487="",IFERROR(INDEX('Raw Data'!$E$2:$E$501,MATCH('Raw Data'!D487,'Raw Data'!$D$2:$D$501,0)),"Unknown Customer"),'Raw Data'!E487)</f>
        <v>Nicholas Carlson</v>
      </c>
      <c r="D487" s="2" t="str">
        <f aca="false">PROPER(TRIM('Raw Data'!G487))</f>
        <v>Dallas</v>
      </c>
      <c r="E487" s="2" t="n">
        <f aca="false">ROUND(VALUE(SUBSTITUTE(TRIM('Raw Data'!M487),"$","")),2)</f>
        <v>166.9</v>
      </c>
      <c r="F487" s="2" t="n">
        <f aca="false">IF('Raw Data'!O487="",0,'Raw Data'!O487)</f>
        <v>0.3</v>
      </c>
      <c r="G487" s="2" t="n">
        <f aca="false">ROUND('Raw Data'!P487,2)</f>
        <v>21.47</v>
      </c>
      <c r="H487" s="2" t="str">
        <f aca="false">IF('Raw Data'!S487="","Medium",'Raw Data'!S487)</f>
        <v>Low</v>
      </c>
      <c r="I487" s="2" t="str">
        <f aca="false">IF(E487&lt;100,"Small",IF(E487&lt;500,"Medium",IF(E487&lt;1500,"Large","Very Large")))</f>
        <v>Medium</v>
      </c>
    </row>
    <row r="488" customFormat="false" ht="15" hidden="false" customHeight="false" outlineLevel="0" collapsed="false">
      <c r="A488" s="2" t="str">
        <f aca="false">'Raw Data'!A488</f>
        <v>ORD-5998</v>
      </c>
      <c r="B488" s="3" t="n">
        <f aca="false">IFERROR(DATEVALUE('Raw Data'!B488),"Check Format")</f>
        <v>45194</v>
      </c>
      <c r="C488" s="2" t="str">
        <f aca="false">IF('Raw Data'!E488="",IFERROR(INDEX('Raw Data'!$E$2:$E$501,MATCH('Raw Data'!D488,'Raw Data'!$D$2:$D$501,0)),"Unknown Customer"),'Raw Data'!E488)</f>
        <v>Angel Gordon</v>
      </c>
      <c r="D488" s="2" t="str">
        <f aca="false">PROPER(TRIM('Raw Data'!G488))</f>
        <v>Pittsburgh</v>
      </c>
      <c r="E488" s="2" t="n">
        <f aca="false">ROUND(VALUE(SUBSTITUTE(TRIM('Raw Data'!M488),"$","")),2)</f>
        <v>140.22</v>
      </c>
      <c r="F488" s="2" t="n">
        <f aca="false">IF('Raw Data'!O488="",0,'Raw Data'!O488)</f>
        <v>0</v>
      </c>
      <c r="G488" s="2" t="n">
        <f aca="false">ROUND('Raw Data'!P488,2)</f>
        <v>43.74</v>
      </c>
      <c r="H488" s="2" t="str">
        <f aca="false">IF('Raw Data'!S488="","Medium",'Raw Data'!S488)</f>
        <v>Critical</v>
      </c>
      <c r="I488" s="2" t="str">
        <f aca="false">IF(E488&lt;100,"Small",IF(E488&lt;500,"Medium",IF(E488&lt;1500,"Large","Very Large")))</f>
        <v>Medium</v>
      </c>
    </row>
    <row r="489" customFormat="false" ht="15" hidden="false" customHeight="false" outlineLevel="0" collapsed="false">
      <c r="A489" s="2" t="str">
        <f aca="false">'Raw Data'!A489</f>
        <v>ORD-10327</v>
      </c>
      <c r="B489" s="3" t="n">
        <f aca="false">IFERROR(DATEVALUE('Raw Data'!B489),"Check Format")</f>
        <v>45997</v>
      </c>
      <c r="C489" s="2" t="str">
        <f aca="false">IF('Raw Data'!E489="",IFERROR(INDEX('Raw Data'!$E$2:$E$501,MATCH('Raw Data'!D489,'Raw Data'!$D$2:$D$501,0)),"Unknown Customer"),'Raw Data'!E489)</f>
        <v>Megan Nelson</v>
      </c>
      <c r="D489" s="2" t="str">
        <f aca="false">PROPER(TRIM('Raw Data'!G489))</f>
        <v>Phoenix</v>
      </c>
      <c r="E489" s="2" t="n">
        <f aca="false">ROUND(VALUE(SUBSTITUTE(TRIM('Raw Data'!M489),"$","")),2)</f>
        <v>1727.77</v>
      </c>
      <c r="F489" s="2" t="n">
        <f aca="false">IF('Raw Data'!O489="",0,'Raw Data'!O489)</f>
        <v>0.15</v>
      </c>
      <c r="G489" s="2" t="n">
        <f aca="false">ROUND('Raw Data'!P489,2)</f>
        <v>331.35</v>
      </c>
      <c r="H489" s="2" t="str">
        <f aca="false">IF('Raw Data'!S489="","Medium",'Raw Data'!S489)</f>
        <v>Low</v>
      </c>
      <c r="I489" s="2" t="str">
        <f aca="false">IF(E489&lt;100,"Small",IF(E489&lt;500,"Medium",IF(E489&lt;1500,"Large","Very Large")))</f>
        <v>Very Large</v>
      </c>
    </row>
    <row r="490" customFormat="false" ht="15" hidden="false" customHeight="false" outlineLevel="0" collapsed="false">
      <c r="A490" s="2" t="str">
        <f aca="false">'Raw Data'!A490</f>
        <v>ORD-16619</v>
      </c>
      <c r="B490" s="3" t="n">
        <f aca="false">IFERROR(DATEVALUE('Raw Data'!B490),"Check Format")</f>
        <v>46206</v>
      </c>
      <c r="C490" s="2" t="str">
        <f aca="false">IF('Raw Data'!E490="",IFERROR(INDEX('Raw Data'!$E$2:$E$501,MATCH('Raw Data'!D490,'Raw Data'!$D$2:$D$501,0)),"Unknown Customer"),'Raw Data'!E490)</f>
        <v>Anna Henderson</v>
      </c>
      <c r="D490" s="2" t="str">
        <f aca="false">PROPER(TRIM('Raw Data'!G490))</f>
        <v>Ann Arbor</v>
      </c>
      <c r="E490" s="2" t="n">
        <f aca="false">ROUND(VALUE(SUBSTITUTE(TRIM('Raw Data'!M490),"$","")),2)</f>
        <v>1192.05</v>
      </c>
      <c r="F490" s="2" t="n">
        <f aca="false">IF('Raw Data'!O490="",0,'Raw Data'!O490)</f>
        <v>0.4</v>
      </c>
      <c r="G490" s="2" t="n">
        <f aca="false">ROUND('Raw Data'!P490,2)</f>
        <v>-49.63</v>
      </c>
      <c r="H490" s="2" t="str">
        <f aca="false">IF('Raw Data'!S490="","Medium",'Raw Data'!S490)</f>
        <v>Medium</v>
      </c>
      <c r="I490" s="2" t="str">
        <f aca="false">IF(E490&lt;100,"Small",IF(E490&lt;500,"Medium",IF(E490&lt;1500,"Large","Very Large")))</f>
        <v>Large</v>
      </c>
    </row>
    <row r="491" customFormat="false" ht="15" hidden="false" customHeight="false" outlineLevel="0" collapsed="false">
      <c r="A491" s="2" t="str">
        <f aca="false">'Raw Data'!A491</f>
        <v>ORD-3595</v>
      </c>
      <c r="B491" s="2" t="str">
        <f aca="false">IFERROR(DATEVALUE('Raw Data'!B491),"Check Format")</f>
        <v>Check Format</v>
      </c>
      <c r="C491" s="2" t="str">
        <f aca="false">IF('Raw Data'!E491="",IFERROR(INDEX('Raw Data'!$E$2:$E$501,MATCH('Raw Data'!D491,'Raw Data'!$D$2:$D$501,0)),"Unknown Customer"),'Raw Data'!E491)</f>
        <v>Derrick Clayton</v>
      </c>
      <c r="D491" s="2" t="str">
        <f aca="false">PROPER(TRIM('Raw Data'!G491))</f>
        <v>Newark</v>
      </c>
      <c r="E491" s="2" t="n">
        <f aca="false">ROUND(VALUE(SUBSTITUTE(TRIM('Raw Data'!M491),"$","")),2)</f>
        <v>1726.83</v>
      </c>
      <c r="F491" s="2" t="n">
        <f aca="false">IF('Raw Data'!O491="",0,'Raw Data'!O491)</f>
        <v>0.3</v>
      </c>
      <c r="G491" s="2" t="n">
        <f aca="false">ROUND('Raw Data'!P491,2)</f>
        <v>-243.74</v>
      </c>
      <c r="H491" s="2" t="str">
        <f aca="false">IF('Raw Data'!S491="","Medium",'Raw Data'!S491)</f>
        <v>Low</v>
      </c>
      <c r="I491" s="2" t="str">
        <f aca="false">IF(E491&lt;100,"Small",IF(E491&lt;500,"Medium",IF(E491&lt;1500,"Large","Very Large")))</f>
        <v>Very Large</v>
      </c>
    </row>
    <row r="492" customFormat="false" ht="15" hidden="false" customHeight="false" outlineLevel="0" collapsed="false">
      <c r="A492" s="2" t="str">
        <f aca="false">'Raw Data'!A492</f>
        <v>ORD-17521</v>
      </c>
      <c r="B492" s="3" t="n">
        <f aca="false">IFERROR(DATEVALUE('Raw Data'!B492),"Check Format")</f>
        <v>46075</v>
      </c>
      <c r="C492" s="2" t="str">
        <f aca="false">IF('Raw Data'!E492="",IFERROR(INDEX('Raw Data'!$E$2:$E$501,MATCH('Raw Data'!D492,'Raw Data'!$D$2:$D$501,0)),"Unknown Customer"),'Raw Data'!E492)</f>
        <v>Todd Thomas</v>
      </c>
      <c r="D492" s="2" t="str">
        <f aca="false">PROPER(TRIM('Raw Data'!G492))</f>
        <v>Worcester</v>
      </c>
      <c r="E492" s="2" t="n">
        <f aca="false">ROUND(VALUE(SUBSTITUTE(TRIM('Raw Data'!M492),"$","")),2)</f>
        <v>3146.16</v>
      </c>
      <c r="F492" s="2" t="n">
        <f aca="false">IF('Raw Data'!O492="",0,'Raw Data'!O492)</f>
        <v>0</v>
      </c>
      <c r="G492" s="2" t="n">
        <f aca="false">ROUND('Raw Data'!P492,2)</f>
        <v>508.21</v>
      </c>
      <c r="H492" s="2" t="str">
        <f aca="false">IF('Raw Data'!S492="","Medium",'Raw Data'!S492)</f>
        <v>High</v>
      </c>
      <c r="I492" s="2" t="str">
        <f aca="false">IF(E492&lt;100,"Small",IF(E492&lt;500,"Medium",IF(E492&lt;1500,"Large","Very Large")))</f>
        <v>Very Large</v>
      </c>
    </row>
    <row r="493" customFormat="false" ht="15" hidden="false" customHeight="false" outlineLevel="0" collapsed="false">
      <c r="A493" s="2" t="str">
        <f aca="false">'Raw Data'!A493</f>
        <v>ORD-17800</v>
      </c>
      <c r="B493" s="3" t="n">
        <f aca="false">IFERROR(DATEVALUE('Raw Data'!B493),"Check Format")</f>
        <v>45245</v>
      </c>
      <c r="C493" s="2" t="str">
        <f aca="false">IF('Raw Data'!E493="",IFERROR(INDEX('Raw Data'!$E$2:$E$501,MATCH('Raw Data'!D493,'Raw Data'!$D$2:$D$501,0)),"Unknown Customer"),'Raw Data'!E493)</f>
        <v>Heather Parrish</v>
      </c>
      <c r="D493" s="2" t="str">
        <f aca="false">PROPER(TRIM('Raw Data'!G493))</f>
        <v>New York City</v>
      </c>
      <c r="E493" s="2" t="n">
        <f aca="false">ROUND(VALUE(SUBSTITUTE(TRIM('Raw Data'!M493),"$","")),2)</f>
        <v>81.53</v>
      </c>
      <c r="F493" s="2" t="n">
        <f aca="false">IF('Raw Data'!O493="",0,'Raw Data'!O493)</f>
        <v>0.4</v>
      </c>
      <c r="G493" s="2" t="n">
        <f aca="false">ROUND('Raw Data'!P493,2)</f>
        <v>-1.97</v>
      </c>
      <c r="H493" s="2" t="str">
        <f aca="false">IF('Raw Data'!S493="","Medium",'Raw Data'!S493)</f>
        <v>Critical</v>
      </c>
      <c r="I493" s="2" t="str">
        <f aca="false">IF(E493&lt;100,"Small",IF(E493&lt;500,"Medium",IF(E493&lt;1500,"Large","Very Large")))</f>
        <v>Small</v>
      </c>
    </row>
    <row r="494" customFormat="false" ht="15" hidden="false" customHeight="false" outlineLevel="0" collapsed="false">
      <c r="A494" s="2" t="str">
        <f aca="false">'Raw Data'!A494</f>
        <v>ORD-6937</v>
      </c>
      <c r="B494" s="3" t="n">
        <f aca="false">IFERROR(DATEVALUE('Raw Data'!B494),"Check Format")</f>
        <v>46024</v>
      </c>
      <c r="C494" s="2" t="str">
        <f aca="false">IF('Raw Data'!E494="",IFERROR(INDEX('Raw Data'!$E$2:$E$501,MATCH('Raw Data'!D494,'Raw Data'!$D$2:$D$501,0)),"Unknown Customer"),'Raw Data'!E494)</f>
        <v>Michael Warner</v>
      </c>
      <c r="D494" s="2" t="str">
        <f aca="false">PROPER(TRIM('Raw Data'!G494))</f>
        <v>Los Angeles</v>
      </c>
      <c r="E494" s="2" t="n">
        <f aca="false">ROUND(VALUE(SUBSTITUTE(TRIM('Raw Data'!M494),"$","")),2)</f>
        <v>1258</v>
      </c>
      <c r="F494" s="2" t="n">
        <f aca="false">IF('Raw Data'!O494="",0,'Raw Data'!O494)</f>
        <v>0.1</v>
      </c>
      <c r="G494" s="2" t="n">
        <f aca="false">ROUND('Raw Data'!P494,2)</f>
        <v>271.94</v>
      </c>
      <c r="H494" s="2" t="str">
        <f aca="false">IF('Raw Data'!S494="","Medium",'Raw Data'!S494)</f>
        <v>Low</v>
      </c>
      <c r="I494" s="2" t="str">
        <f aca="false">IF(E494&lt;100,"Small",IF(E494&lt;500,"Medium",IF(E494&lt;1500,"Large","Very Large")))</f>
        <v>Large</v>
      </c>
    </row>
    <row r="495" customFormat="false" ht="15" hidden="false" customHeight="false" outlineLevel="0" collapsed="false">
      <c r="A495" s="2" t="str">
        <f aca="false">'Raw Data'!A495</f>
        <v>ORD-17443</v>
      </c>
      <c r="B495" s="3" t="n">
        <f aca="false">IFERROR(DATEVALUE('Raw Data'!B495),"Check Format")</f>
        <v>45568</v>
      </c>
      <c r="C495" s="2" t="str">
        <f aca="false">IF('Raw Data'!E495="",IFERROR(INDEX('Raw Data'!$E$2:$E$501,MATCH('Raw Data'!D495,'Raw Data'!$D$2:$D$501,0)),"Unknown Customer"),'Raw Data'!E495)</f>
        <v>Kimberly Sharp</v>
      </c>
      <c r="D495" s="2" t="str">
        <f aca="false">PROPER(TRIM('Raw Data'!G495))</f>
        <v>Springfield</v>
      </c>
      <c r="E495" s="2" t="n">
        <f aca="false">ROUND(VALUE(SUBSTITUTE(TRIM('Raw Data'!M495),"$","")),2)</f>
        <v>421.18</v>
      </c>
      <c r="F495" s="2" t="n">
        <f aca="false">IF('Raw Data'!O495="",0,'Raw Data'!O495)</f>
        <v>0.1</v>
      </c>
      <c r="G495" s="2" t="n">
        <f aca="false">ROUND('Raw Data'!P495,2)</f>
        <v>140.07</v>
      </c>
      <c r="H495" s="2" t="str">
        <f aca="false">IF('Raw Data'!S495="","Medium",'Raw Data'!S495)</f>
        <v>Critical</v>
      </c>
      <c r="I495" s="2" t="str">
        <f aca="false">IF(E495&lt;100,"Small",IF(E495&lt;500,"Medium",IF(E495&lt;1500,"Large","Very Large")))</f>
        <v>Medium</v>
      </c>
    </row>
    <row r="496" customFormat="false" ht="15" hidden="false" customHeight="false" outlineLevel="0" collapsed="false">
      <c r="A496" s="2" t="str">
        <f aca="false">'Raw Data'!A496</f>
        <v>ORD-8846</v>
      </c>
      <c r="B496" s="3" t="n">
        <f aca="false">IFERROR(DATEVALUE('Raw Data'!B496),"Check Format")</f>
        <v>45457</v>
      </c>
      <c r="C496" s="2" t="str">
        <f aca="false">IF('Raw Data'!E496="",IFERROR(INDEX('Raw Data'!$E$2:$E$501,MATCH('Raw Data'!D496,'Raw Data'!$D$2:$D$501,0)),"Unknown Customer"),'Raw Data'!E496)</f>
        <v>Cynthia Moore</v>
      </c>
      <c r="D496" s="2" t="str">
        <f aca="false">PROPER(TRIM('Raw Data'!G496))</f>
        <v>Spokane</v>
      </c>
      <c r="E496" s="2" t="n">
        <f aca="false">ROUND(VALUE(SUBSTITUTE(TRIM('Raw Data'!M496),"$","")),2)</f>
        <v>9393.66</v>
      </c>
      <c r="F496" s="2" t="n">
        <f aca="false">IF('Raw Data'!O496="",0,'Raw Data'!O496)</f>
        <v>0.15</v>
      </c>
      <c r="G496" s="2" t="n">
        <f aca="false">ROUND('Raw Data'!P496,2)</f>
        <v>1542.19</v>
      </c>
      <c r="H496" s="2" t="str">
        <f aca="false">IF('Raw Data'!S496="","Medium",'Raw Data'!S496)</f>
        <v>Critical</v>
      </c>
      <c r="I496" s="2" t="str">
        <f aca="false">IF(E496&lt;100,"Small",IF(E496&lt;500,"Medium",IF(E496&lt;1500,"Large","Very Large")))</f>
        <v>Very Large</v>
      </c>
    </row>
    <row r="497" customFormat="false" ht="15" hidden="false" customHeight="false" outlineLevel="0" collapsed="false">
      <c r="A497" s="2" t="str">
        <f aca="false">'Raw Data'!A497</f>
        <v>ORD-7253</v>
      </c>
      <c r="B497" s="2" t="str">
        <f aca="false">IFERROR(DATEVALUE('Raw Data'!B497),"Check Format")</f>
        <v>Check Format</v>
      </c>
      <c r="C497" s="2" t="str">
        <f aca="false">IF('Raw Data'!E497="",IFERROR(INDEX('Raw Data'!$E$2:$E$501,MATCH('Raw Data'!D497,'Raw Data'!$D$2:$D$501,0)),"Unknown Customer"),'Raw Data'!E497)</f>
        <v>Daniel Kane</v>
      </c>
      <c r="D497" s="2" t="str">
        <f aca="false">PROPER(TRIM('Raw Data'!G497))</f>
        <v>Denver</v>
      </c>
      <c r="E497" s="2" t="n">
        <f aca="false">ROUND(VALUE(SUBSTITUTE(TRIM('Raw Data'!M497),"$","")),2)</f>
        <v>426.99</v>
      </c>
      <c r="F497" s="2" t="n">
        <f aca="false">IF('Raw Data'!O497="",0,'Raw Data'!O497)</f>
        <v>0</v>
      </c>
      <c r="G497" s="2" t="n">
        <f aca="false">ROUND('Raw Data'!P497,2)</f>
        <v>88.35</v>
      </c>
      <c r="H497" s="2" t="str">
        <f aca="false">IF('Raw Data'!S497="","Medium",'Raw Data'!S497)</f>
        <v>Medium</v>
      </c>
      <c r="I497" s="2" t="str">
        <f aca="false">IF(E497&lt;100,"Small",IF(E497&lt;500,"Medium",IF(E497&lt;1500,"Large","Very Large")))</f>
        <v>Medium</v>
      </c>
    </row>
    <row r="498" customFormat="false" ht="15" hidden="false" customHeight="false" outlineLevel="0" collapsed="false">
      <c r="A498" s="2" t="str">
        <f aca="false">'Raw Data'!A498</f>
        <v>ORD-11715</v>
      </c>
      <c r="B498" s="2" t="str">
        <f aca="false">IFERROR(DATEVALUE('Raw Data'!B498),"Check Format")</f>
        <v>Check Format</v>
      </c>
      <c r="C498" s="2" t="str">
        <f aca="false">IF('Raw Data'!E498="",IFERROR(INDEX('Raw Data'!$E$2:$E$501,MATCH('Raw Data'!D498,'Raw Data'!$D$2:$D$501,0)),"Unknown Customer"),'Raw Data'!E498)</f>
        <v>Spencer Haynes</v>
      </c>
      <c r="D498" s="2" t="str">
        <f aca="false">PROPER(TRIM('Raw Data'!G498))</f>
        <v>Orlando</v>
      </c>
      <c r="E498" s="2" t="n">
        <f aca="false">ROUND(VALUE(SUBSTITUTE(TRIM('Raw Data'!M498),"$","")),2)</f>
        <v>3257.76</v>
      </c>
      <c r="F498" s="2" t="n">
        <f aca="false">IF('Raw Data'!O498="",0,'Raw Data'!O498)</f>
        <v>0.15</v>
      </c>
      <c r="G498" s="2" t="n">
        <f aca="false">ROUND('Raw Data'!P498,2)</f>
        <v>404.63</v>
      </c>
      <c r="H498" s="2" t="str">
        <f aca="false">IF('Raw Data'!S498="","Medium",'Raw Data'!S498)</f>
        <v>Medium</v>
      </c>
      <c r="I498" s="2" t="str">
        <f aca="false">IF(E498&lt;100,"Small",IF(E498&lt;500,"Medium",IF(E498&lt;1500,"Large","Very Large")))</f>
        <v>Very Large</v>
      </c>
    </row>
    <row r="499" customFormat="false" ht="15" hidden="false" customHeight="false" outlineLevel="0" collapsed="false">
      <c r="A499" s="2" t="str">
        <f aca="false">'Raw Data'!A499</f>
        <v>ORD-10268</v>
      </c>
      <c r="B499" s="3" t="n">
        <f aca="false">IFERROR(DATEVALUE('Raw Data'!B499),"Check Format")</f>
        <v>45876</v>
      </c>
      <c r="C499" s="2" t="str">
        <f aca="false">IF('Raw Data'!E499="",IFERROR(INDEX('Raw Data'!$E$2:$E$501,MATCH('Raw Data'!D499,'Raw Data'!$D$2:$D$501,0)),"Unknown Customer"),'Raw Data'!E499)</f>
        <v>Randy Friedman</v>
      </c>
      <c r="D499" s="2" t="str">
        <f aca="false">PROPER(TRIM('Raw Data'!G499))</f>
        <v>Louisville</v>
      </c>
      <c r="E499" s="2" t="n">
        <f aca="false">ROUND(VALUE(SUBSTITUTE(TRIM('Raw Data'!M499),"$","")),2)</f>
        <v>3123.9</v>
      </c>
      <c r="F499" s="2" t="n">
        <f aca="false">IF('Raw Data'!O499="",0,'Raw Data'!O499)</f>
        <v>0.5</v>
      </c>
      <c r="G499" s="2" t="n">
        <f aca="false">ROUND('Raw Data'!P499,2)</f>
        <v>-356</v>
      </c>
      <c r="H499" s="2" t="str">
        <f aca="false">IF('Raw Data'!S499="","Medium",'Raw Data'!S499)</f>
        <v>Critical</v>
      </c>
      <c r="I499" s="2" t="str">
        <f aca="false">IF(E499&lt;100,"Small",IF(E499&lt;500,"Medium",IF(E499&lt;1500,"Large","Very Large")))</f>
        <v>Very Large</v>
      </c>
    </row>
    <row r="500" customFormat="false" ht="15" hidden="false" customHeight="false" outlineLevel="0" collapsed="false">
      <c r="A500" s="2" t="str">
        <f aca="false">'Raw Data'!A500</f>
        <v>ORD-15176</v>
      </c>
      <c r="B500" s="3" t="n">
        <f aca="false">IFERROR(DATEVALUE('Raw Data'!B500),"Check Format")</f>
        <v>45674</v>
      </c>
      <c r="C500" s="2" t="str">
        <f aca="false">IF('Raw Data'!E500="",IFERROR(INDEX('Raw Data'!$E$2:$E$501,MATCH('Raw Data'!D500,'Raw Data'!$D$2:$D$501,0)),"Unknown Customer"),'Raw Data'!E500)</f>
        <v>Ryan Gonzalez</v>
      </c>
      <c r="D500" s="2" t="str">
        <f aca="false">PROPER(TRIM('Raw Data'!G500))</f>
        <v>Tacoma</v>
      </c>
      <c r="E500" s="2" t="n">
        <f aca="false">ROUND(VALUE(SUBSTITUTE(TRIM('Raw Data'!M500),"$","")),2)</f>
        <v>75.89</v>
      </c>
      <c r="F500" s="2" t="n">
        <f aca="false">IF('Raw Data'!O500="",0,'Raw Data'!O500)</f>
        <v>0.1</v>
      </c>
      <c r="G500" s="2" t="n">
        <f aca="false">ROUND('Raw Data'!P500,2)</f>
        <v>4.64</v>
      </c>
      <c r="H500" s="2" t="str">
        <f aca="false">IF('Raw Data'!S500="","Medium",'Raw Data'!S500)</f>
        <v>Critical</v>
      </c>
      <c r="I500" s="2" t="str">
        <f aca="false">IF(E500&lt;100,"Small",IF(E500&lt;500,"Medium",IF(E500&lt;1500,"Large","Very Large")))</f>
        <v>Small</v>
      </c>
    </row>
    <row r="501" customFormat="false" ht="15" hidden="false" customHeight="false" outlineLevel="0" collapsed="false">
      <c r="A501" s="2" t="str">
        <f aca="false">'Raw Data'!A501</f>
        <v>ORD-14622</v>
      </c>
      <c r="B501" s="2" t="str">
        <f aca="false">IFERROR(DATEVALUE('Raw Data'!B501),"Check Format")</f>
        <v>Check Format</v>
      </c>
      <c r="C501" s="2" t="str">
        <f aca="false">IF('Raw Data'!E501="",IFERROR(INDEX('Raw Data'!$E$2:$E$501,MATCH('Raw Data'!D501,'Raw Data'!$D$2:$D$501,0)),"Unknown Customer"),'Raw Data'!E501)</f>
        <v>Eugene Baldwin</v>
      </c>
      <c r="D501" s="2" t="str">
        <f aca="false">PROPER(TRIM('Raw Data'!G501))</f>
        <v>Norfolk</v>
      </c>
      <c r="E501" s="2" t="n">
        <f aca="false">ROUND(VALUE(SUBSTITUTE(TRIM('Raw Data'!M501),"$","")),2)</f>
        <v>8561.6</v>
      </c>
      <c r="F501" s="2" t="n">
        <f aca="false">IF('Raw Data'!O501="",0,'Raw Data'!O501)</f>
        <v>0</v>
      </c>
      <c r="G501" s="2" t="n">
        <f aca="false">ROUND('Raw Data'!P501,2)</f>
        <v>1492.65</v>
      </c>
      <c r="H501" s="2" t="str">
        <f aca="false">IF('Raw Data'!S501="","Medium",'Raw Data'!S501)</f>
        <v>Critical</v>
      </c>
      <c r="I501" s="2" t="str">
        <f aca="false">IF(E501&lt;100,"Small",IF(E501&lt;500,"Medium",IF(E501&lt;1500,"Large","Very Large")))</f>
        <v>Very Large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1" t="s">
        <v>18</v>
      </c>
      <c r="B1" s="1" t="s">
        <v>3046</v>
      </c>
      <c r="C1" s="1" t="s">
        <v>3047</v>
      </c>
    </row>
    <row r="2" customFormat="false" ht="15" hidden="false" customHeight="false" outlineLevel="0" collapsed="false">
      <c r="A2" s="2" t="s">
        <v>33</v>
      </c>
      <c r="B2" s="2" t="n">
        <f aca="false">COUNTIF('Cleaning Formulas'!H2:H501,A2)</f>
        <v>131</v>
      </c>
      <c r="C2" s="2" t="n">
        <f aca="false">ROUND(SUMIF('Cleaning Formulas'!H2:H501,A2,'Cleaning Formulas'!G2:G501),2)</f>
        <v>21228.71</v>
      </c>
    </row>
    <row r="3" customFormat="false" ht="15" hidden="false" customHeight="false" outlineLevel="0" collapsed="false">
      <c r="A3" s="2" t="s">
        <v>110</v>
      </c>
      <c r="B3" s="2" t="n">
        <f aca="false">COUNTIF('Cleaning Formulas'!H2:H501,A3)</f>
        <v>136</v>
      </c>
      <c r="C3" s="2" t="n">
        <f aca="false">ROUND(SUMIF('Cleaning Formulas'!H2:H501,A3,'Cleaning Formulas'!G2:G501),2)</f>
        <v>21468.61</v>
      </c>
    </row>
    <row r="4" customFormat="false" ht="15" hidden="false" customHeight="false" outlineLevel="0" collapsed="false">
      <c r="A4" s="2" t="s">
        <v>60</v>
      </c>
      <c r="B4" s="2" t="n">
        <f aca="false">COUNTIF('Cleaning Formulas'!H2:H501,A4)</f>
        <v>111</v>
      </c>
      <c r="C4" s="2" t="n">
        <f aca="false">ROUND(SUMIF('Cleaning Formulas'!H2:H501,A4,'Cleaning Formulas'!G2:G501),2)</f>
        <v>15522.01</v>
      </c>
    </row>
    <row r="5" customFormat="false" ht="15" hidden="false" customHeight="false" outlineLevel="0" collapsed="false">
      <c r="A5" s="2" t="s">
        <v>73</v>
      </c>
      <c r="B5" s="2" t="n">
        <f aca="false">COUNTIF('Cleaning Formulas'!H2:H501,A5)</f>
        <v>122</v>
      </c>
      <c r="C5" s="2" t="n">
        <f aca="false">ROUND(SUMIF('Cleaning Formulas'!H2:H501,A5,'Cleaning Formulas'!G2:G501),2)</f>
        <v>24027.72</v>
      </c>
    </row>
    <row r="8" customFormat="false" ht="15" hidden="false" customHeight="false" outlineLevel="0" collapsed="false">
      <c r="A8" s="1" t="s">
        <v>3045</v>
      </c>
      <c r="B8" s="1" t="s">
        <v>3048</v>
      </c>
      <c r="C8" s="1" t="s">
        <v>3049</v>
      </c>
    </row>
    <row r="9" customFormat="false" ht="15" hidden="false" customHeight="false" outlineLevel="0" collapsed="false">
      <c r="A9" s="2" t="s">
        <v>3050</v>
      </c>
      <c r="B9" s="2" t="n">
        <f aca="false">COUNTIF('Cleaning Formulas'!I2:I501,A9)</f>
        <v>67</v>
      </c>
      <c r="C9" s="2" t="n">
        <f aca="false">IFERROR(ROUND(SUMIFS('Cleaning Formulas'!G2:G501,'Cleaning Formulas'!I2:I501,A9)/B9,2),0)</f>
        <v>4.19</v>
      </c>
    </row>
    <row r="10" customFormat="false" ht="15" hidden="false" customHeight="false" outlineLevel="0" collapsed="false">
      <c r="A10" s="2" t="s">
        <v>110</v>
      </c>
      <c r="B10" s="2" t="n">
        <f aca="false">COUNTIF('Cleaning Formulas'!I2:I501,A10)</f>
        <v>157</v>
      </c>
      <c r="C10" s="2" t="n">
        <f aca="false">IFERROR(ROUND(SUMIFS('Cleaning Formulas'!G2:G501,'Cleaning Formulas'!I2:I501,A10)/B10,2),0)</f>
        <v>30.67</v>
      </c>
    </row>
    <row r="11" customFormat="false" ht="15" hidden="false" customHeight="false" outlineLevel="0" collapsed="false">
      <c r="A11" s="2" t="s">
        <v>3051</v>
      </c>
      <c r="B11" s="2" t="n">
        <f aca="false">COUNTIF('Cleaning Formulas'!I2:I501,A11)</f>
        <v>102</v>
      </c>
      <c r="C11" s="2" t="n">
        <f aca="false">IFERROR(ROUND(SUMIFS('Cleaning Formulas'!G2:G501,'Cleaning Formulas'!I2:I501,A11)/B11,2),0)</f>
        <v>91.16</v>
      </c>
    </row>
    <row r="12" customFormat="false" ht="15" hidden="false" customHeight="false" outlineLevel="0" collapsed="false">
      <c r="A12" s="2" t="s">
        <v>3052</v>
      </c>
      <c r="B12" s="2" t="n">
        <f aca="false">COUNTIF('Cleaning Formulas'!I2:I501,A12)</f>
        <v>174</v>
      </c>
      <c r="C12" s="2" t="n">
        <f aca="false">IFERROR(ROUND(SUMIFS('Cleaning Formulas'!G2:G501,'Cleaning Formulas'!I2:I501,A12)/B12,2),0)</f>
        <v>389.96</v>
      </c>
    </row>
    <row r="15" customFormat="false" ht="15" hidden="false" customHeight="false" outlineLevel="0" collapsed="false">
      <c r="A15" s="4" t="s">
        <v>3053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2026-07-16T20:33:21Z</dcterms:created>
  <dc:creator>openpyxl</dc:creator>
  <dc:description/>
  <dc:language>en-US</dc:language>
  <cp:lastModifiedBy/>
  <dcterms:modified xsi:type="dcterms:W3CDTF">2026-07-16T20:33:21Z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